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 hidePivotFieldList="1"/>
  <xr:revisionPtr revIDLastSave="749" documentId="11_D6AFC56F6F00F48B0CF76ED565B68386CE9EE05A" xr6:coauthVersionLast="47" xr6:coauthVersionMax="47" xr10:uidLastSave="{185824A8-5730-4F5A-9055-CBF236D541FD}"/>
  <bookViews>
    <workbookView xWindow="0" yWindow="0" windowWidth="16384" windowHeight="8192" tabRatio="500" firstSheet="1" activeTab="4" xr2:uid="{00000000-000D-0000-FFFF-FFFF00000000}"/>
  </bookViews>
  <sheets>
    <sheet name="Dashboard" sheetId="1" r:id="rId1"/>
    <sheet name="Financial Summary" sheetId="12" r:id="rId2"/>
    <sheet name="Analysis" sheetId="11" r:id="rId3"/>
    <sheet name="Medicine_Search" sheetId="2" r:id="rId4"/>
    <sheet name="Medicine_Master" sheetId="3" r:id="rId5"/>
    <sheet name="Purchase_Entry" sheetId="4" r:id="rId6"/>
    <sheet name="Sales_Entry" sheetId="5" r:id="rId7"/>
    <sheet name="Inventory_Status" sheetId="6" r:id="rId8"/>
    <sheet name="Expiry_Alert" sheetId="7" r:id="rId9"/>
    <sheet name="Low_Stock_Alert" sheetId="8" r:id="rId10"/>
    <sheet name="Credit_Report" sheetId="9" r:id="rId11"/>
    <sheet name="Profit_Report" sheetId="10" r:id="rId12"/>
  </sheets>
  <calcPr calcId="191028" iterateDelta="1E-4"/>
  <pivotCaches>
    <pivotCache cacheId="5780" r:id="rId13"/>
    <pivotCache cacheId="5861" r:id="rId14"/>
    <pivotCache cacheId="5884" r:id="rId1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K11" i="12" l="1"/>
  <c r="K10" i="12"/>
  <c r="K9" i="12"/>
  <c r="K8" i="12"/>
  <c r="K7" i="12"/>
  <c r="K6" i="12"/>
  <c r="K5" i="12"/>
  <c r="K4" i="12"/>
  <c r="K3" i="12"/>
  <c r="K2" i="12"/>
  <c r="A7" i="1"/>
  <c r="H7" i="8"/>
  <c r="B3" i="5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B33" i="5"/>
  <c r="B34" i="5"/>
  <c r="B35" i="5"/>
  <c r="B36" i="5"/>
  <c r="B37" i="5"/>
  <c r="B38" i="5"/>
  <c r="B39" i="5"/>
  <c r="B40" i="5"/>
  <c r="B41" i="5"/>
  <c r="B42" i="5"/>
  <c r="B43" i="5"/>
  <c r="B44" i="5"/>
  <c r="B45" i="5"/>
  <c r="B46" i="5"/>
  <c r="B47" i="5"/>
  <c r="B48" i="5"/>
  <c r="B49" i="5"/>
  <c r="B50" i="5"/>
  <c r="B51" i="5"/>
  <c r="B52" i="5"/>
  <c r="B53" i="5"/>
  <c r="B54" i="5"/>
  <c r="B55" i="5"/>
  <c r="B56" i="5"/>
  <c r="B57" i="5"/>
  <c r="B58" i="5"/>
  <c r="B59" i="5"/>
  <c r="B60" i="5"/>
  <c r="B61" i="5"/>
  <c r="B62" i="5"/>
  <c r="B63" i="5"/>
  <c r="B64" i="5"/>
  <c r="B65" i="5"/>
  <c r="B66" i="5"/>
  <c r="B67" i="5"/>
  <c r="B68" i="5"/>
  <c r="B69" i="5"/>
  <c r="B70" i="5"/>
  <c r="B71" i="5"/>
  <c r="B72" i="5"/>
  <c r="B73" i="5"/>
  <c r="B74" i="5"/>
  <c r="B75" i="5"/>
  <c r="B76" i="5"/>
  <c r="B77" i="5"/>
  <c r="B78" i="5"/>
  <c r="B79" i="5"/>
  <c r="B80" i="5"/>
  <c r="B81" i="5"/>
  <c r="B82" i="5"/>
  <c r="B83" i="5"/>
  <c r="B84" i="5"/>
  <c r="B85" i="5"/>
  <c r="B86" i="5"/>
  <c r="B87" i="5"/>
  <c r="B88" i="5"/>
  <c r="B89" i="5"/>
  <c r="B90" i="5"/>
  <c r="B91" i="5"/>
  <c r="B92" i="5"/>
  <c r="B93" i="5"/>
  <c r="B94" i="5"/>
  <c r="B95" i="5"/>
  <c r="B96" i="5"/>
  <c r="B97" i="5"/>
  <c r="B2" i="5"/>
  <c r="G3" i="7"/>
  <c r="F2" i="6"/>
  <c r="B17" i="2" a="1"/>
  <c r="B17" i="2"/>
  <c r="B8" i="2" a="1"/>
  <c r="B8" i="2"/>
  <c r="F98" i="10"/>
  <c r="E98" i="10"/>
  <c r="G98" i="10" s="1"/>
  <c r="H98" i="10" s="1"/>
  <c r="D98" i="10"/>
  <c r="D97" i="10"/>
  <c r="D96" i="10"/>
  <c r="D95" i="10"/>
  <c r="D94" i="10"/>
  <c r="F93" i="10"/>
  <c r="E93" i="10"/>
  <c r="G93" i="10" s="1"/>
  <c r="H93" i="10" s="1"/>
  <c r="D93" i="10"/>
  <c r="D92" i="10"/>
  <c r="D91" i="10"/>
  <c r="D90" i="10"/>
  <c r="D89" i="10"/>
  <c r="D88" i="10"/>
  <c r="F87" i="10"/>
  <c r="E87" i="10"/>
  <c r="G87" i="10" s="1"/>
  <c r="H87" i="10" s="1"/>
  <c r="D87" i="10"/>
  <c r="D86" i="10"/>
  <c r="F85" i="10"/>
  <c r="E85" i="10"/>
  <c r="G85" i="10" s="1"/>
  <c r="H85" i="10" s="1"/>
  <c r="D85" i="10"/>
  <c r="D84" i="10"/>
  <c r="D83" i="10"/>
  <c r="D82" i="10"/>
  <c r="D81" i="10"/>
  <c r="D80" i="10"/>
  <c r="F79" i="10"/>
  <c r="E79" i="10"/>
  <c r="G79" i="10" s="1"/>
  <c r="H79" i="10" s="1"/>
  <c r="D79" i="10"/>
  <c r="F78" i="10"/>
  <c r="E78" i="10"/>
  <c r="G78" i="10" s="1"/>
  <c r="H78" i="10" s="1"/>
  <c r="D78" i="10"/>
  <c r="D77" i="10"/>
  <c r="D76" i="10"/>
  <c r="F75" i="10"/>
  <c r="E75" i="10"/>
  <c r="G75" i="10" s="1"/>
  <c r="H75" i="10" s="1"/>
  <c r="D75" i="10"/>
  <c r="D74" i="10"/>
  <c r="D73" i="10"/>
  <c r="F72" i="10"/>
  <c r="E72" i="10"/>
  <c r="G72" i="10" s="1"/>
  <c r="H72" i="10" s="1"/>
  <c r="D72" i="10"/>
  <c r="D71" i="10"/>
  <c r="D70" i="10"/>
  <c r="D69" i="10"/>
  <c r="D68" i="10"/>
  <c r="F67" i="10"/>
  <c r="E67" i="10"/>
  <c r="G67" i="10" s="1"/>
  <c r="H67" i="10" s="1"/>
  <c r="D67" i="10"/>
  <c r="D66" i="10"/>
  <c r="F65" i="10"/>
  <c r="E65" i="10"/>
  <c r="G65" i="10" s="1"/>
  <c r="H65" i="10" s="1"/>
  <c r="D65" i="10"/>
  <c r="D64" i="10"/>
  <c r="D63" i="10"/>
  <c r="F62" i="10"/>
  <c r="E62" i="10"/>
  <c r="G62" i="10" s="1"/>
  <c r="H62" i="10" s="1"/>
  <c r="D62" i="10"/>
  <c r="F61" i="10"/>
  <c r="E61" i="10"/>
  <c r="G61" i="10" s="1"/>
  <c r="H61" i="10" s="1"/>
  <c r="D61" i="10"/>
  <c r="D60" i="10"/>
  <c r="D59" i="10"/>
  <c r="D58" i="10"/>
  <c r="F57" i="10"/>
  <c r="E57" i="10"/>
  <c r="G57" i="10" s="1"/>
  <c r="H57" i="10" s="1"/>
  <c r="D57" i="10"/>
  <c r="D56" i="10"/>
  <c r="F55" i="10"/>
  <c r="E55" i="10"/>
  <c r="G55" i="10" s="1"/>
  <c r="H55" i="10" s="1"/>
  <c r="D55" i="10"/>
  <c r="D54" i="10"/>
  <c r="D53" i="10"/>
  <c r="F52" i="10"/>
  <c r="E52" i="10"/>
  <c r="G52" i="10" s="1"/>
  <c r="H52" i="10" s="1"/>
  <c r="D52" i="10"/>
  <c r="F51" i="10"/>
  <c r="E51" i="10"/>
  <c r="G51" i="10" s="1"/>
  <c r="H51" i="10" s="1"/>
  <c r="D51" i="10"/>
  <c r="F50" i="10"/>
  <c r="E50" i="10"/>
  <c r="G50" i="10" s="1"/>
  <c r="H50" i="10" s="1"/>
  <c r="D50" i="10"/>
  <c r="F49" i="10"/>
  <c r="E49" i="10"/>
  <c r="G49" i="10" s="1"/>
  <c r="H49" i="10" s="1"/>
  <c r="D49" i="10"/>
  <c r="F48" i="10"/>
  <c r="E48" i="10"/>
  <c r="G48" i="10" s="1"/>
  <c r="H48" i="10" s="1"/>
  <c r="D48" i="10"/>
  <c r="F47" i="10"/>
  <c r="E47" i="10"/>
  <c r="G47" i="10" s="1"/>
  <c r="H47" i="10" s="1"/>
  <c r="D47" i="10"/>
  <c r="D46" i="10"/>
  <c r="F45" i="10"/>
  <c r="E45" i="10"/>
  <c r="G45" i="10" s="1"/>
  <c r="H45" i="10" s="1"/>
  <c r="D45" i="10"/>
  <c r="D44" i="10"/>
  <c r="F43" i="10"/>
  <c r="E43" i="10"/>
  <c r="G43" i="10" s="1"/>
  <c r="H43" i="10" s="1"/>
  <c r="D43" i="10"/>
  <c r="D42" i="10"/>
  <c r="F41" i="10"/>
  <c r="E41" i="10"/>
  <c r="G41" i="10" s="1"/>
  <c r="H41" i="10" s="1"/>
  <c r="D41" i="10"/>
  <c r="F40" i="10"/>
  <c r="E40" i="10"/>
  <c r="G40" i="10" s="1"/>
  <c r="H40" i="10" s="1"/>
  <c r="D40" i="10"/>
  <c r="D39" i="10"/>
  <c r="F38" i="10"/>
  <c r="E38" i="10"/>
  <c r="G38" i="10" s="1"/>
  <c r="H38" i="10" s="1"/>
  <c r="D38" i="10"/>
  <c r="F37" i="10"/>
  <c r="E37" i="10"/>
  <c r="G37" i="10" s="1"/>
  <c r="H37" i="10" s="1"/>
  <c r="D37" i="10"/>
  <c r="D36" i="10"/>
  <c r="F35" i="10"/>
  <c r="E35" i="10"/>
  <c r="G35" i="10" s="1"/>
  <c r="H35" i="10" s="1"/>
  <c r="D35" i="10"/>
  <c r="F34" i="10"/>
  <c r="E34" i="10"/>
  <c r="G34" i="10" s="1"/>
  <c r="H34" i="10" s="1"/>
  <c r="D34" i="10"/>
  <c r="D33" i="10"/>
  <c r="D32" i="10"/>
  <c r="F31" i="10"/>
  <c r="E31" i="10"/>
  <c r="G31" i="10" s="1"/>
  <c r="H31" i="10" s="1"/>
  <c r="D31" i="10"/>
  <c r="D30" i="10"/>
  <c r="D29" i="10"/>
  <c r="F28" i="10"/>
  <c r="E28" i="10"/>
  <c r="G28" i="10" s="1"/>
  <c r="H28" i="10" s="1"/>
  <c r="D28" i="10"/>
  <c r="D27" i="10"/>
  <c r="D26" i="10"/>
  <c r="F25" i="10"/>
  <c r="E25" i="10"/>
  <c r="G25" i="10" s="1"/>
  <c r="H25" i="10" s="1"/>
  <c r="D25" i="10"/>
  <c r="D24" i="10"/>
  <c r="D23" i="10"/>
  <c r="D22" i="10"/>
  <c r="D21" i="10"/>
  <c r="F20" i="10"/>
  <c r="E20" i="10"/>
  <c r="G20" i="10" s="1"/>
  <c r="H20" i="10" s="1"/>
  <c r="D20" i="10"/>
  <c r="D19" i="10"/>
  <c r="D18" i="10"/>
  <c r="F17" i="10"/>
  <c r="E17" i="10"/>
  <c r="G17" i="10" s="1"/>
  <c r="H17" i="10" s="1"/>
  <c r="D17" i="10"/>
  <c r="D16" i="10"/>
  <c r="D15" i="10"/>
  <c r="F14" i="10"/>
  <c r="E14" i="10"/>
  <c r="G14" i="10" s="1"/>
  <c r="H14" i="10" s="1"/>
  <c r="D14" i="10"/>
  <c r="F13" i="10"/>
  <c r="E13" i="10"/>
  <c r="G13" i="10" s="1"/>
  <c r="H13" i="10" s="1"/>
  <c r="D13" i="10"/>
  <c r="D12" i="10"/>
  <c r="D11" i="10"/>
  <c r="F10" i="10"/>
  <c r="E10" i="10"/>
  <c r="G10" i="10" s="1"/>
  <c r="H10" i="10" s="1"/>
  <c r="D10" i="10"/>
  <c r="F9" i="10"/>
  <c r="E9" i="10"/>
  <c r="G9" i="10" s="1"/>
  <c r="H9" i="10" s="1"/>
  <c r="D9" i="10"/>
  <c r="F8" i="10"/>
  <c r="E8" i="10"/>
  <c r="G8" i="10" s="1"/>
  <c r="H8" i="10" s="1"/>
  <c r="D8" i="10"/>
  <c r="F7" i="10"/>
  <c r="E7" i="10"/>
  <c r="G7" i="10" s="1"/>
  <c r="H7" i="10" s="1"/>
  <c r="D7" i="10"/>
  <c r="D6" i="10"/>
  <c r="D5" i="10"/>
  <c r="D4" i="10"/>
  <c r="F3" i="10"/>
  <c r="E3" i="10"/>
  <c r="G3" i="10" s="1"/>
  <c r="H3" i="10" s="1"/>
  <c r="D3" i="10"/>
  <c r="D98" i="8"/>
  <c r="D97" i="8"/>
  <c r="D96" i="8"/>
  <c r="D95" i="8"/>
  <c r="D94" i="8"/>
  <c r="D93" i="8"/>
  <c r="D92" i="8"/>
  <c r="D91" i="8"/>
  <c r="D90" i="8"/>
  <c r="D89" i="8"/>
  <c r="D88" i="8"/>
  <c r="D87" i="8"/>
  <c r="D86" i="8"/>
  <c r="D85" i="8"/>
  <c r="D84" i="8"/>
  <c r="D83" i="8"/>
  <c r="D82" i="8"/>
  <c r="D81" i="8"/>
  <c r="D80" i="8"/>
  <c r="D79" i="8"/>
  <c r="D78" i="8"/>
  <c r="D77" i="8"/>
  <c r="D76" i="8"/>
  <c r="D75" i="8"/>
  <c r="D74" i="8"/>
  <c r="D73" i="8"/>
  <c r="D72" i="8"/>
  <c r="D71" i="8"/>
  <c r="D70" i="8"/>
  <c r="D69" i="8"/>
  <c r="D68" i="8"/>
  <c r="D67" i="8"/>
  <c r="D66" i="8"/>
  <c r="D65" i="8"/>
  <c r="D64" i="8"/>
  <c r="D63" i="8"/>
  <c r="D62" i="8"/>
  <c r="D61" i="8"/>
  <c r="D60" i="8"/>
  <c r="D59" i="8"/>
  <c r="D58" i="8"/>
  <c r="D57" i="8"/>
  <c r="D56" i="8"/>
  <c r="D55" i="8"/>
  <c r="D54" i="8"/>
  <c r="D53" i="8"/>
  <c r="D52" i="8"/>
  <c r="D51" i="8"/>
  <c r="D50" i="8"/>
  <c r="D49" i="8"/>
  <c r="D48" i="8"/>
  <c r="D47" i="8"/>
  <c r="D46" i="8"/>
  <c r="D45" i="8"/>
  <c r="D44" i="8"/>
  <c r="D43" i="8"/>
  <c r="D42" i="8"/>
  <c r="D41" i="8"/>
  <c r="D40" i="8"/>
  <c r="D39" i="8"/>
  <c r="D38" i="8"/>
  <c r="D37" i="8"/>
  <c r="D36" i="8"/>
  <c r="D35" i="8"/>
  <c r="D34" i="8"/>
  <c r="D33" i="8"/>
  <c r="D32" i="8"/>
  <c r="D31" i="8"/>
  <c r="D30" i="8"/>
  <c r="D29" i="8"/>
  <c r="D28" i="8"/>
  <c r="D27" i="8"/>
  <c r="D26" i="8"/>
  <c r="D25" i="8"/>
  <c r="D24" i="8"/>
  <c r="D23" i="8"/>
  <c r="D22" i="8"/>
  <c r="D21" i="8"/>
  <c r="D20" i="8"/>
  <c r="D19" i="8"/>
  <c r="D18" i="8"/>
  <c r="D17" i="8"/>
  <c r="D16" i="8"/>
  <c r="D15" i="8"/>
  <c r="D14" i="8"/>
  <c r="D13" i="8"/>
  <c r="D12" i="8"/>
  <c r="D11" i="8"/>
  <c r="D10" i="8"/>
  <c r="D9" i="8"/>
  <c r="D8" i="8"/>
  <c r="D7" i="8"/>
  <c r="D6" i="8"/>
  <c r="D5" i="8"/>
  <c r="D4" i="8"/>
  <c r="D3" i="8"/>
  <c r="G98" i="7"/>
  <c r="F98" i="7"/>
  <c r="D98" i="7"/>
  <c r="I98" i="7" s="1"/>
  <c r="G97" i="7"/>
  <c r="F97" i="7"/>
  <c r="D97" i="7"/>
  <c r="I97" i="7" s="1"/>
  <c r="G96" i="7"/>
  <c r="F96" i="7"/>
  <c r="D96" i="7"/>
  <c r="I96" i="7" s="1"/>
  <c r="G95" i="7"/>
  <c r="F95" i="7"/>
  <c r="D95" i="7"/>
  <c r="I95" i="7" s="1"/>
  <c r="G94" i="7"/>
  <c r="F94" i="7"/>
  <c r="D94" i="7"/>
  <c r="I94" i="7" s="1"/>
  <c r="G93" i="7"/>
  <c r="F93" i="7"/>
  <c r="D93" i="7"/>
  <c r="I93" i="7" s="1"/>
  <c r="G92" i="7"/>
  <c r="F92" i="7"/>
  <c r="D92" i="7"/>
  <c r="I92" i="7" s="1"/>
  <c r="G91" i="7"/>
  <c r="F91" i="7"/>
  <c r="D91" i="7"/>
  <c r="I91" i="7" s="1"/>
  <c r="G90" i="7"/>
  <c r="F90" i="7"/>
  <c r="D90" i="7"/>
  <c r="I90" i="7" s="1"/>
  <c r="G89" i="7"/>
  <c r="F89" i="7"/>
  <c r="D89" i="7"/>
  <c r="I89" i="7" s="1"/>
  <c r="G88" i="7"/>
  <c r="F88" i="7"/>
  <c r="D88" i="7"/>
  <c r="I88" i="7" s="1"/>
  <c r="G87" i="7"/>
  <c r="F87" i="7"/>
  <c r="D87" i="7"/>
  <c r="I87" i="7" s="1"/>
  <c r="G86" i="7"/>
  <c r="F86" i="7"/>
  <c r="D86" i="7"/>
  <c r="I86" i="7" s="1"/>
  <c r="G85" i="7"/>
  <c r="F85" i="7"/>
  <c r="D85" i="7"/>
  <c r="I85" i="7" s="1"/>
  <c r="G84" i="7"/>
  <c r="F84" i="7"/>
  <c r="D84" i="7"/>
  <c r="I84" i="7" s="1"/>
  <c r="G83" i="7"/>
  <c r="F83" i="7"/>
  <c r="D83" i="7"/>
  <c r="I83" i="7" s="1"/>
  <c r="G82" i="7"/>
  <c r="F82" i="7"/>
  <c r="D82" i="7"/>
  <c r="I82" i="7" s="1"/>
  <c r="G81" i="7"/>
  <c r="F81" i="7"/>
  <c r="D81" i="7"/>
  <c r="I81" i="7" s="1"/>
  <c r="G80" i="7"/>
  <c r="F80" i="7"/>
  <c r="D80" i="7"/>
  <c r="I80" i="7" s="1"/>
  <c r="G79" i="7"/>
  <c r="F79" i="7"/>
  <c r="D79" i="7"/>
  <c r="I79" i="7" s="1"/>
  <c r="G78" i="7"/>
  <c r="F78" i="7"/>
  <c r="D78" i="7"/>
  <c r="I78" i="7" s="1"/>
  <c r="G77" i="7"/>
  <c r="F77" i="7"/>
  <c r="D77" i="7"/>
  <c r="I77" i="7" s="1"/>
  <c r="G76" i="7"/>
  <c r="F76" i="7"/>
  <c r="D76" i="7"/>
  <c r="I76" i="7" s="1"/>
  <c r="G75" i="7"/>
  <c r="F75" i="7"/>
  <c r="D75" i="7"/>
  <c r="I75" i="7" s="1"/>
  <c r="G74" i="7"/>
  <c r="F74" i="7"/>
  <c r="D74" i="7"/>
  <c r="I74" i="7" s="1"/>
  <c r="G73" i="7"/>
  <c r="F73" i="7"/>
  <c r="D73" i="7"/>
  <c r="I73" i="7" s="1"/>
  <c r="G72" i="7"/>
  <c r="F72" i="7"/>
  <c r="D72" i="7"/>
  <c r="I72" i="7" s="1"/>
  <c r="G71" i="7"/>
  <c r="F71" i="7"/>
  <c r="D71" i="7"/>
  <c r="I71" i="7" s="1"/>
  <c r="G70" i="7"/>
  <c r="F70" i="7"/>
  <c r="D70" i="7"/>
  <c r="I70" i="7" s="1"/>
  <c r="G69" i="7"/>
  <c r="F69" i="7"/>
  <c r="D69" i="7"/>
  <c r="I69" i="7" s="1"/>
  <c r="G68" i="7"/>
  <c r="F68" i="7"/>
  <c r="D68" i="7"/>
  <c r="I68" i="7" s="1"/>
  <c r="G67" i="7"/>
  <c r="F67" i="7"/>
  <c r="D67" i="7"/>
  <c r="I67" i="7" s="1"/>
  <c r="G66" i="7"/>
  <c r="F66" i="7"/>
  <c r="D66" i="7"/>
  <c r="I66" i="7" s="1"/>
  <c r="G65" i="7"/>
  <c r="F65" i="7"/>
  <c r="D65" i="7"/>
  <c r="I65" i="7" s="1"/>
  <c r="G64" i="7"/>
  <c r="F64" i="7"/>
  <c r="D64" i="7"/>
  <c r="I64" i="7" s="1"/>
  <c r="G63" i="7"/>
  <c r="F63" i="7"/>
  <c r="D63" i="7"/>
  <c r="I63" i="7" s="1"/>
  <c r="G62" i="7"/>
  <c r="F62" i="7"/>
  <c r="D62" i="7"/>
  <c r="I62" i="7" s="1"/>
  <c r="G61" i="7"/>
  <c r="F61" i="7"/>
  <c r="D61" i="7"/>
  <c r="I61" i="7" s="1"/>
  <c r="G60" i="7"/>
  <c r="F60" i="7"/>
  <c r="D60" i="7"/>
  <c r="I60" i="7" s="1"/>
  <c r="G59" i="7"/>
  <c r="F59" i="7"/>
  <c r="D59" i="7"/>
  <c r="I59" i="7" s="1"/>
  <c r="G58" i="7"/>
  <c r="F58" i="7"/>
  <c r="D58" i="7"/>
  <c r="I58" i="7" s="1"/>
  <c r="G57" i="7"/>
  <c r="F57" i="7"/>
  <c r="D57" i="7"/>
  <c r="I57" i="7" s="1"/>
  <c r="G56" i="7"/>
  <c r="F56" i="7"/>
  <c r="D56" i="7"/>
  <c r="I56" i="7" s="1"/>
  <c r="G55" i="7"/>
  <c r="F55" i="7"/>
  <c r="D55" i="7"/>
  <c r="I55" i="7" s="1"/>
  <c r="G54" i="7"/>
  <c r="F54" i="7"/>
  <c r="D54" i="7"/>
  <c r="I54" i="7" s="1"/>
  <c r="G53" i="7"/>
  <c r="F53" i="7"/>
  <c r="D53" i="7"/>
  <c r="I53" i="7" s="1"/>
  <c r="G52" i="7"/>
  <c r="F52" i="7"/>
  <c r="D52" i="7"/>
  <c r="I52" i="7" s="1"/>
  <c r="G51" i="7"/>
  <c r="F51" i="7"/>
  <c r="D51" i="7"/>
  <c r="I51" i="7" s="1"/>
  <c r="G50" i="7"/>
  <c r="F50" i="7"/>
  <c r="D50" i="7"/>
  <c r="I50" i="7" s="1"/>
  <c r="G49" i="7"/>
  <c r="F49" i="7"/>
  <c r="D49" i="7"/>
  <c r="I49" i="7" s="1"/>
  <c r="G48" i="7"/>
  <c r="F48" i="7"/>
  <c r="D48" i="7"/>
  <c r="I48" i="7" s="1"/>
  <c r="G47" i="7"/>
  <c r="F47" i="7"/>
  <c r="D47" i="7"/>
  <c r="I47" i="7" s="1"/>
  <c r="G46" i="7"/>
  <c r="F46" i="7"/>
  <c r="D46" i="7"/>
  <c r="I46" i="7" s="1"/>
  <c r="G45" i="7"/>
  <c r="F45" i="7"/>
  <c r="D45" i="7"/>
  <c r="I45" i="7" s="1"/>
  <c r="G44" i="7"/>
  <c r="F44" i="7"/>
  <c r="D44" i="7"/>
  <c r="I44" i="7" s="1"/>
  <c r="G43" i="7"/>
  <c r="F43" i="7"/>
  <c r="D43" i="7"/>
  <c r="I43" i="7" s="1"/>
  <c r="G42" i="7"/>
  <c r="F42" i="7"/>
  <c r="D42" i="7"/>
  <c r="I42" i="7" s="1"/>
  <c r="G41" i="7"/>
  <c r="F41" i="7"/>
  <c r="D41" i="7"/>
  <c r="I41" i="7" s="1"/>
  <c r="G40" i="7"/>
  <c r="F40" i="7"/>
  <c r="D40" i="7"/>
  <c r="I40" i="7" s="1"/>
  <c r="G39" i="7"/>
  <c r="F39" i="7"/>
  <c r="D39" i="7"/>
  <c r="I39" i="7" s="1"/>
  <c r="G38" i="7"/>
  <c r="F38" i="7"/>
  <c r="D38" i="7"/>
  <c r="I38" i="7" s="1"/>
  <c r="G37" i="7"/>
  <c r="F37" i="7"/>
  <c r="D37" i="7"/>
  <c r="I37" i="7" s="1"/>
  <c r="G36" i="7"/>
  <c r="F36" i="7"/>
  <c r="D36" i="7"/>
  <c r="I36" i="7" s="1"/>
  <c r="G35" i="7"/>
  <c r="F35" i="7"/>
  <c r="D35" i="7"/>
  <c r="I35" i="7" s="1"/>
  <c r="G34" i="7"/>
  <c r="F34" i="7"/>
  <c r="D34" i="7"/>
  <c r="I34" i="7" s="1"/>
  <c r="G33" i="7"/>
  <c r="F33" i="7"/>
  <c r="D33" i="7"/>
  <c r="I33" i="7" s="1"/>
  <c r="G32" i="7"/>
  <c r="F32" i="7"/>
  <c r="D32" i="7"/>
  <c r="I32" i="7" s="1"/>
  <c r="G31" i="7"/>
  <c r="F31" i="7"/>
  <c r="D31" i="7"/>
  <c r="I31" i="7" s="1"/>
  <c r="G30" i="7"/>
  <c r="F30" i="7"/>
  <c r="D30" i="7"/>
  <c r="I30" i="7" s="1"/>
  <c r="G29" i="7"/>
  <c r="F29" i="7"/>
  <c r="D29" i="7"/>
  <c r="I29" i="7" s="1"/>
  <c r="G28" i="7"/>
  <c r="F28" i="7"/>
  <c r="D28" i="7"/>
  <c r="I28" i="7" s="1"/>
  <c r="G27" i="7"/>
  <c r="F27" i="7"/>
  <c r="D27" i="7"/>
  <c r="I27" i="7" s="1"/>
  <c r="G26" i="7"/>
  <c r="F26" i="7"/>
  <c r="D26" i="7"/>
  <c r="I26" i="7" s="1"/>
  <c r="G25" i="7"/>
  <c r="F25" i="7"/>
  <c r="D25" i="7"/>
  <c r="I25" i="7" s="1"/>
  <c r="G24" i="7"/>
  <c r="F24" i="7"/>
  <c r="D24" i="7"/>
  <c r="I24" i="7" s="1"/>
  <c r="G23" i="7"/>
  <c r="F23" i="7"/>
  <c r="D23" i="7"/>
  <c r="I23" i="7" s="1"/>
  <c r="G22" i="7"/>
  <c r="F22" i="7"/>
  <c r="D22" i="7"/>
  <c r="I22" i="7" s="1"/>
  <c r="G21" i="7"/>
  <c r="F21" i="7"/>
  <c r="D21" i="7"/>
  <c r="I21" i="7" s="1"/>
  <c r="G20" i="7"/>
  <c r="F20" i="7"/>
  <c r="D20" i="7"/>
  <c r="I20" i="7" s="1"/>
  <c r="G19" i="7"/>
  <c r="F19" i="7"/>
  <c r="D19" i="7"/>
  <c r="I19" i="7" s="1"/>
  <c r="G18" i="7"/>
  <c r="F18" i="7"/>
  <c r="D18" i="7"/>
  <c r="I18" i="7" s="1"/>
  <c r="G17" i="7"/>
  <c r="F17" i="7"/>
  <c r="D17" i="7"/>
  <c r="I17" i="7" s="1"/>
  <c r="G16" i="7"/>
  <c r="F16" i="7"/>
  <c r="D16" i="7"/>
  <c r="I16" i="7" s="1"/>
  <c r="G15" i="7"/>
  <c r="F15" i="7"/>
  <c r="D15" i="7"/>
  <c r="I15" i="7" s="1"/>
  <c r="G14" i="7"/>
  <c r="F14" i="7"/>
  <c r="D14" i="7"/>
  <c r="I14" i="7" s="1"/>
  <c r="G13" i="7"/>
  <c r="F13" i="7"/>
  <c r="D13" i="7"/>
  <c r="I13" i="7" s="1"/>
  <c r="G12" i="7"/>
  <c r="F12" i="7"/>
  <c r="D12" i="7"/>
  <c r="I12" i="7" s="1"/>
  <c r="G11" i="7"/>
  <c r="F11" i="7"/>
  <c r="D11" i="7"/>
  <c r="I11" i="7" s="1"/>
  <c r="G10" i="7"/>
  <c r="F10" i="7"/>
  <c r="D10" i="7"/>
  <c r="I10" i="7" s="1"/>
  <c r="G9" i="7"/>
  <c r="F9" i="7"/>
  <c r="D9" i="7"/>
  <c r="I9" i="7" s="1"/>
  <c r="G8" i="7"/>
  <c r="F8" i="7"/>
  <c r="D8" i="7"/>
  <c r="I8" i="7" s="1"/>
  <c r="G7" i="7"/>
  <c r="F7" i="7"/>
  <c r="D7" i="7"/>
  <c r="I7" i="7" s="1"/>
  <c r="G6" i="7"/>
  <c r="F6" i="7"/>
  <c r="D6" i="7"/>
  <c r="I6" i="7" s="1"/>
  <c r="G5" i="7"/>
  <c r="F5" i="7"/>
  <c r="D5" i="7"/>
  <c r="I5" i="7" s="1"/>
  <c r="G4" i="7"/>
  <c r="F4" i="7"/>
  <c r="D4" i="7"/>
  <c r="I4" i="7" s="1"/>
  <c r="F3" i="7"/>
  <c r="D3" i="7"/>
  <c r="I3" i="7" s="1"/>
  <c r="O97" i="6"/>
  <c r="L97" i="6"/>
  <c r="K97" i="6"/>
  <c r="G97" i="6"/>
  <c r="F97" i="6"/>
  <c r="H97" i="6" s="1"/>
  <c r="O96" i="6"/>
  <c r="L96" i="6"/>
  <c r="K96" i="6"/>
  <c r="G96" i="6"/>
  <c r="F96" i="6"/>
  <c r="H96" i="6" s="1"/>
  <c r="O95" i="6"/>
  <c r="L95" i="6"/>
  <c r="K95" i="6"/>
  <c r="G95" i="6"/>
  <c r="F95" i="6"/>
  <c r="H95" i="6" s="1"/>
  <c r="O94" i="6"/>
  <c r="L94" i="6"/>
  <c r="K94" i="6"/>
  <c r="G94" i="6"/>
  <c r="F94" i="6"/>
  <c r="H94" i="6" s="1"/>
  <c r="O93" i="6"/>
  <c r="L93" i="6"/>
  <c r="K93" i="6"/>
  <c r="G93" i="6"/>
  <c r="F93" i="6"/>
  <c r="H93" i="6" s="1"/>
  <c r="O92" i="6"/>
  <c r="L92" i="6"/>
  <c r="K92" i="6"/>
  <c r="G92" i="6"/>
  <c r="F92" i="6"/>
  <c r="H92" i="6" s="1"/>
  <c r="O91" i="6"/>
  <c r="L91" i="6"/>
  <c r="K91" i="6"/>
  <c r="G91" i="6"/>
  <c r="F91" i="6"/>
  <c r="H91" i="6" s="1"/>
  <c r="O90" i="6"/>
  <c r="L90" i="6"/>
  <c r="K90" i="6"/>
  <c r="G90" i="6"/>
  <c r="F90" i="6"/>
  <c r="H90" i="6" s="1"/>
  <c r="O89" i="6"/>
  <c r="L89" i="6"/>
  <c r="K89" i="6"/>
  <c r="G89" i="6"/>
  <c r="F89" i="6"/>
  <c r="H89" i="6" s="1"/>
  <c r="O88" i="6"/>
  <c r="L88" i="6"/>
  <c r="K88" i="6"/>
  <c r="G88" i="6"/>
  <c r="F88" i="6"/>
  <c r="H88" i="6" s="1"/>
  <c r="O87" i="6"/>
  <c r="L87" i="6"/>
  <c r="K87" i="6"/>
  <c r="G87" i="6"/>
  <c r="F87" i="6"/>
  <c r="H87" i="6" s="1"/>
  <c r="O86" i="6"/>
  <c r="L86" i="6"/>
  <c r="K86" i="6"/>
  <c r="G86" i="6"/>
  <c r="F86" i="6"/>
  <c r="H86" i="6" s="1"/>
  <c r="O85" i="6"/>
  <c r="L85" i="6"/>
  <c r="K85" i="6"/>
  <c r="G85" i="6"/>
  <c r="F85" i="6"/>
  <c r="H85" i="6" s="1"/>
  <c r="O84" i="6"/>
  <c r="L84" i="6"/>
  <c r="K84" i="6"/>
  <c r="G84" i="6"/>
  <c r="F84" i="6"/>
  <c r="H84" i="6" s="1"/>
  <c r="O83" i="6"/>
  <c r="L83" i="6"/>
  <c r="K83" i="6"/>
  <c r="G83" i="6"/>
  <c r="F83" i="6"/>
  <c r="H83" i="6" s="1"/>
  <c r="O82" i="6"/>
  <c r="L82" i="6"/>
  <c r="K82" i="6"/>
  <c r="G82" i="6"/>
  <c r="F82" i="6"/>
  <c r="H82" i="6" s="1"/>
  <c r="O81" i="6"/>
  <c r="L81" i="6"/>
  <c r="K81" i="6"/>
  <c r="G81" i="6"/>
  <c r="F81" i="6"/>
  <c r="H81" i="6" s="1"/>
  <c r="O80" i="6"/>
  <c r="L80" i="6"/>
  <c r="K80" i="6"/>
  <c r="G80" i="6"/>
  <c r="F80" i="6"/>
  <c r="H80" i="6" s="1"/>
  <c r="O79" i="6"/>
  <c r="L79" i="6"/>
  <c r="K79" i="6"/>
  <c r="G79" i="6"/>
  <c r="F79" i="6"/>
  <c r="H79" i="6" s="1"/>
  <c r="O78" i="6"/>
  <c r="L78" i="6"/>
  <c r="K78" i="6"/>
  <c r="G78" i="6"/>
  <c r="F78" i="6"/>
  <c r="H78" i="6" s="1"/>
  <c r="O77" i="6"/>
  <c r="L77" i="6"/>
  <c r="K77" i="6"/>
  <c r="G77" i="6"/>
  <c r="F77" i="6"/>
  <c r="H77" i="6" s="1"/>
  <c r="O76" i="6"/>
  <c r="L76" i="6"/>
  <c r="K76" i="6"/>
  <c r="G76" i="6"/>
  <c r="F76" i="6"/>
  <c r="H76" i="6" s="1"/>
  <c r="O75" i="6"/>
  <c r="L75" i="6"/>
  <c r="K75" i="6"/>
  <c r="G75" i="6"/>
  <c r="F75" i="6"/>
  <c r="H75" i="6" s="1"/>
  <c r="O74" i="6"/>
  <c r="L74" i="6"/>
  <c r="K74" i="6"/>
  <c r="G74" i="6"/>
  <c r="F74" i="6"/>
  <c r="H74" i="6" s="1"/>
  <c r="O73" i="6"/>
  <c r="L73" i="6"/>
  <c r="K73" i="6"/>
  <c r="G73" i="6"/>
  <c r="F73" i="6"/>
  <c r="H73" i="6" s="1"/>
  <c r="O72" i="6"/>
  <c r="L72" i="6"/>
  <c r="K72" i="6"/>
  <c r="G72" i="6"/>
  <c r="F72" i="6"/>
  <c r="H72" i="6" s="1"/>
  <c r="O71" i="6"/>
  <c r="L71" i="6"/>
  <c r="K71" i="6"/>
  <c r="G71" i="6"/>
  <c r="F71" i="6"/>
  <c r="H71" i="6" s="1"/>
  <c r="O70" i="6"/>
  <c r="L70" i="6"/>
  <c r="K70" i="6"/>
  <c r="G70" i="6"/>
  <c r="F70" i="6"/>
  <c r="H70" i="6" s="1"/>
  <c r="O69" i="6"/>
  <c r="L69" i="6"/>
  <c r="K69" i="6"/>
  <c r="G69" i="6"/>
  <c r="F69" i="6"/>
  <c r="H69" i="6" s="1"/>
  <c r="O68" i="6"/>
  <c r="L68" i="6"/>
  <c r="K68" i="6"/>
  <c r="G68" i="6"/>
  <c r="F68" i="6"/>
  <c r="H68" i="6" s="1"/>
  <c r="O67" i="6"/>
  <c r="L67" i="6"/>
  <c r="K67" i="6"/>
  <c r="G67" i="6"/>
  <c r="F67" i="6"/>
  <c r="H67" i="6" s="1"/>
  <c r="O66" i="6"/>
  <c r="L66" i="6"/>
  <c r="K66" i="6"/>
  <c r="G66" i="6"/>
  <c r="F66" i="6"/>
  <c r="H66" i="6" s="1"/>
  <c r="O65" i="6"/>
  <c r="L65" i="6"/>
  <c r="K65" i="6"/>
  <c r="G65" i="6"/>
  <c r="F65" i="6"/>
  <c r="H65" i="6" s="1"/>
  <c r="O64" i="6"/>
  <c r="L64" i="6"/>
  <c r="K64" i="6"/>
  <c r="G64" i="6"/>
  <c r="F64" i="6"/>
  <c r="H64" i="6" s="1"/>
  <c r="O63" i="6"/>
  <c r="L63" i="6"/>
  <c r="K63" i="6"/>
  <c r="G63" i="6"/>
  <c r="F63" i="6"/>
  <c r="H63" i="6" s="1"/>
  <c r="O62" i="6"/>
  <c r="L62" i="6"/>
  <c r="K62" i="6"/>
  <c r="G62" i="6"/>
  <c r="F62" i="6"/>
  <c r="H62" i="6" s="1"/>
  <c r="O61" i="6"/>
  <c r="L61" i="6"/>
  <c r="K61" i="6"/>
  <c r="G61" i="6"/>
  <c r="F61" i="6"/>
  <c r="H61" i="6" s="1"/>
  <c r="O60" i="6"/>
  <c r="L60" i="6"/>
  <c r="K60" i="6"/>
  <c r="G60" i="6"/>
  <c r="F60" i="6"/>
  <c r="H60" i="6" s="1"/>
  <c r="O59" i="6"/>
  <c r="L59" i="6"/>
  <c r="K59" i="6"/>
  <c r="G59" i="6"/>
  <c r="F59" i="6"/>
  <c r="H59" i="6" s="1"/>
  <c r="O58" i="6"/>
  <c r="L58" i="6"/>
  <c r="K58" i="6"/>
  <c r="G58" i="6"/>
  <c r="F58" i="6"/>
  <c r="H58" i="6" s="1"/>
  <c r="O57" i="6"/>
  <c r="L57" i="6"/>
  <c r="K57" i="6"/>
  <c r="G57" i="6"/>
  <c r="F57" i="6"/>
  <c r="H57" i="6" s="1"/>
  <c r="O56" i="6"/>
  <c r="L56" i="6"/>
  <c r="K56" i="6"/>
  <c r="G56" i="6"/>
  <c r="F56" i="6"/>
  <c r="H56" i="6" s="1"/>
  <c r="O55" i="6"/>
  <c r="L55" i="6"/>
  <c r="K55" i="6"/>
  <c r="G55" i="6"/>
  <c r="F55" i="6"/>
  <c r="H55" i="6" s="1"/>
  <c r="O54" i="6"/>
  <c r="L54" i="6"/>
  <c r="K54" i="6"/>
  <c r="G54" i="6"/>
  <c r="F54" i="6"/>
  <c r="H54" i="6" s="1"/>
  <c r="O53" i="6"/>
  <c r="L53" i="6"/>
  <c r="K53" i="6"/>
  <c r="G53" i="6"/>
  <c r="F53" i="6"/>
  <c r="H53" i="6" s="1"/>
  <c r="O52" i="6"/>
  <c r="L52" i="6"/>
  <c r="K52" i="6"/>
  <c r="G52" i="6"/>
  <c r="F52" i="6"/>
  <c r="H52" i="6" s="1"/>
  <c r="O51" i="6"/>
  <c r="L51" i="6"/>
  <c r="K51" i="6"/>
  <c r="G51" i="6"/>
  <c r="F51" i="6"/>
  <c r="H51" i="6" s="1"/>
  <c r="O50" i="6"/>
  <c r="L50" i="6"/>
  <c r="K50" i="6"/>
  <c r="G50" i="6"/>
  <c r="F50" i="6"/>
  <c r="H50" i="6" s="1"/>
  <c r="O49" i="6"/>
  <c r="L49" i="6"/>
  <c r="K49" i="6"/>
  <c r="G49" i="6"/>
  <c r="F49" i="6"/>
  <c r="H49" i="6" s="1"/>
  <c r="O48" i="6"/>
  <c r="L48" i="6"/>
  <c r="K48" i="6"/>
  <c r="G48" i="6"/>
  <c r="F48" i="6"/>
  <c r="H48" i="6" s="1"/>
  <c r="O47" i="6"/>
  <c r="L47" i="6"/>
  <c r="K47" i="6"/>
  <c r="G47" i="6"/>
  <c r="F47" i="6"/>
  <c r="H47" i="6" s="1"/>
  <c r="O46" i="6"/>
  <c r="L46" i="6"/>
  <c r="K46" i="6"/>
  <c r="G46" i="6"/>
  <c r="F46" i="6"/>
  <c r="H46" i="6" s="1"/>
  <c r="O45" i="6"/>
  <c r="L45" i="6"/>
  <c r="K45" i="6"/>
  <c r="G45" i="6"/>
  <c r="F45" i="6"/>
  <c r="H45" i="6" s="1"/>
  <c r="O44" i="6"/>
  <c r="L44" i="6"/>
  <c r="K44" i="6"/>
  <c r="G44" i="6"/>
  <c r="F44" i="6"/>
  <c r="H44" i="6" s="1"/>
  <c r="O43" i="6"/>
  <c r="L43" i="6"/>
  <c r="K43" i="6"/>
  <c r="G43" i="6"/>
  <c r="F43" i="6"/>
  <c r="H43" i="6" s="1"/>
  <c r="O42" i="6"/>
  <c r="L42" i="6"/>
  <c r="K42" i="6"/>
  <c r="G42" i="6"/>
  <c r="F42" i="6"/>
  <c r="H42" i="6" s="1"/>
  <c r="O41" i="6"/>
  <c r="L41" i="6"/>
  <c r="K41" i="6"/>
  <c r="G41" i="6"/>
  <c r="F41" i="6"/>
  <c r="H41" i="6" s="1"/>
  <c r="O40" i="6"/>
  <c r="L40" i="6"/>
  <c r="K40" i="6"/>
  <c r="G40" i="6"/>
  <c r="F40" i="6"/>
  <c r="H40" i="6" s="1"/>
  <c r="O39" i="6"/>
  <c r="L39" i="6"/>
  <c r="K39" i="6"/>
  <c r="G39" i="6"/>
  <c r="F39" i="6"/>
  <c r="H39" i="6" s="1"/>
  <c r="O38" i="6"/>
  <c r="L38" i="6"/>
  <c r="K38" i="6"/>
  <c r="G38" i="6"/>
  <c r="F38" i="6"/>
  <c r="H38" i="6" s="1"/>
  <c r="O37" i="6"/>
  <c r="L37" i="6"/>
  <c r="K37" i="6"/>
  <c r="G37" i="6"/>
  <c r="F37" i="6"/>
  <c r="H37" i="6" s="1"/>
  <c r="O36" i="6"/>
  <c r="L36" i="6"/>
  <c r="K36" i="6"/>
  <c r="G36" i="6"/>
  <c r="F36" i="6"/>
  <c r="H36" i="6" s="1"/>
  <c r="O35" i="6"/>
  <c r="L35" i="6"/>
  <c r="K35" i="6"/>
  <c r="G35" i="6"/>
  <c r="F35" i="6"/>
  <c r="H35" i="6" s="1"/>
  <c r="O34" i="6"/>
  <c r="L34" i="6"/>
  <c r="K34" i="6"/>
  <c r="G34" i="6"/>
  <c r="F34" i="6"/>
  <c r="H34" i="6" s="1"/>
  <c r="O33" i="6"/>
  <c r="L33" i="6"/>
  <c r="K33" i="6"/>
  <c r="G33" i="6"/>
  <c r="F33" i="6"/>
  <c r="H33" i="6" s="1"/>
  <c r="O32" i="6"/>
  <c r="L32" i="6"/>
  <c r="K32" i="6"/>
  <c r="G32" i="6"/>
  <c r="F32" i="6"/>
  <c r="H32" i="6" s="1"/>
  <c r="O31" i="6"/>
  <c r="L31" i="6"/>
  <c r="K31" i="6"/>
  <c r="G31" i="6"/>
  <c r="F31" i="6"/>
  <c r="H31" i="6" s="1"/>
  <c r="O30" i="6"/>
  <c r="L30" i="6"/>
  <c r="K30" i="6"/>
  <c r="G30" i="6"/>
  <c r="F30" i="6"/>
  <c r="H30" i="6" s="1"/>
  <c r="O29" i="6"/>
  <c r="L29" i="6"/>
  <c r="K29" i="6"/>
  <c r="G29" i="6"/>
  <c r="F29" i="6"/>
  <c r="H29" i="6" s="1"/>
  <c r="O28" i="6"/>
  <c r="L28" i="6"/>
  <c r="K28" i="6"/>
  <c r="G28" i="6"/>
  <c r="F28" i="6"/>
  <c r="H28" i="6" s="1"/>
  <c r="O27" i="6"/>
  <c r="L27" i="6"/>
  <c r="K27" i="6"/>
  <c r="G27" i="6"/>
  <c r="F27" i="6"/>
  <c r="H27" i="6" s="1"/>
  <c r="O26" i="6"/>
  <c r="L26" i="6"/>
  <c r="K26" i="6"/>
  <c r="G26" i="6"/>
  <c r="F26" i="6"/>
  <c r="H26" i="6" s="1"/>
  <c r="O25" i="6"/>
  <c r="L25" i="6"/>
  <c r="K25" i="6"/>
  <c r="G25" i="6"/>
  <c r="F25" i="6"/>
  <c r="H25" i="6" s="1"/>
  <c r="O24" i="6"/>
  <c r="L24" i="6"/>
  <c r="K24" i="6"/>
  <c r="G24" i="6"/>
  <c r="F24" i="6"/>
  <c r="H24" i="6" s="1"/>
  <c r="O23" i="6"/>
  <c r="L23" i="6"/>
  <c r="K23" i="6"/>
  <c r="G23" i="6"/>
  <c r="F23" i="6"/>
  <c r="H23" i="6" s="1"/>
  <c r="O22" i="6"/>
  <c r="L22" i="6"/>
  <c r="K22" i="6"/>
  <c r="G22" i="6"/>
  <c r="F22" i="6"/>
  <c r="H22" i="6" s="1"/>
  <c r="O21" i="6"/>
  <c r="L21" i="6"/>
  <c r="K21" i="6"/>
  <c r="G21" i="6"/>
  <c r="F21" i="6"/>
  <c r="H21" i="6" s="1"/>
  <c r="O20" i="6"/>
  <c r="L20" i="6"/>
  <c r="K20" i="6"/>
  <c r="G20" i="6"/>
  <c r="F20" i="6"/>
  <c r="H20" i="6" s="1"/>
  <c r="O19" i="6"/>
  <c r="L19" i="6"/>
  <c r="K19" i="6"/>
  <c r="G19" i="6"/>
  <c r="F19" i="6"/>
  <c r="H19" i="6" s="1"/>
  <c r="O18" i="6"/>
  <c r="L18" i="6"/>
  <c r="K18" i="6"/>
  <c r="G18" i="6"/>
  <c r="F18" i="6"/>
  <c r="H18" i="6" s="1"/>
  <c r="O17" i="6"/>
  <c r="L17" i="6"/>
  <c r="K17" i="6"/>
  <c r="G17" i="6"/>
  <c r="F17" i="6"/>
  <c r="H17" i="6" s="1"/>
  <c r="O16" i="6"/>
  <c r="L16" i="6"/>
  <c r="K16" i="6"/>
  <c r="G16" i="6"/>
  <c r="F16" i="6"/>
  <c r="H16" i="6" s="1"/>
  <c r="O15" i="6"/>
  <c r="L15" i="6"/>
  <c r="K15" i="6"/>
  <c r="G15" i="6"/>
  <c r="F15" i="6"/>
  <c r="H15" i="6" s="1"/>
  <c r="O14" i="6"/>
  <c r="L14" i="6"/>
  <c r="K14" i="6"/>
  <c r="G14" i="6"/>
  <c r="F14" i="6"/>
  <c r="H14" i="6" s="1"/>
  <c r="O13" i="6"/>
  <c r="L13" i="6"/>
  <c r="K13" i="6"/>
  <c r="G13" i="6"/>
  <c r="F13" i="6"/>
  <c r="H13" i="6" s="1"/>
  <c r="O12" i="6"/>
  <c r="L12" i="6"/>
  <c r="K12" i="6"/>
  <c r="G12" i="6"/>
  <c r="F12" i="6"/>
  <c r="H12" i="6" s="1"/>
  <c r="O11" i="6"/>
  <c r="L11" i="6"/>
  <c r="K11" i="6"/>
  <c r="G11" i="6"/>
  <c r="F11" i="6"/>
  <c r="H11" i="6" s="1"/>
  <c r="O10" i="6"/>
  <c r="L10" i="6"/>
  <c r="K10" i="6"/>
  <c r="G10" i="6"/>
  <c r="F10" i="6"/>
  <c r="H10" i="6" s="1"/>
  <c r="O9" i="6"/>
  <c r="L9" i="6"/>
  <c r="K9" i="6"/>
  <c r="G9" i="6"/>
  <c r="F9" i="6"/>
  <c r="H9" i="6" s="1"/>
  <c r="O8" i="6"/>
  <c r="L8" i="6"/>
  <c r="K8" i="6"/>
  <c r="G8" i="6"/>
  <c r="F8" i="6"/>
  <c r="H8" i="6" s="1"/>
  <c r="O7" i="6"/>
  <c r="L7" i="6"/>
  <c r="K7" i="6"/>
  <c r="G7" i="6"/>
  <c r="F7" i="6"/>
  <c r="H7" i="6" s="1"/>
  <c r="O6" i="6"/>
  <c r="L6" i="6"/>
  <c r="K6" i="6"/>
  <c r="G6" i="6"/>
  <c r="F6" i="6"/>
  <c r="H6" i="6" s="1"/>
  <c r="O5" i="6"/>
  <c r="L5" i="6"/>
  <c r="K5" i="6"/>
  <c r="G5" i="6"/>
  <c r="F5" i="6"/>
  <c r="H5" i="6" s="1"/>
  <c r="O4" i="6"/>
  <c r="L4" i="6"/>
  <c r="K4" i="6"/>
  <c r="G4" i="6"/>
  <c r="F4" i="6"/>
  <c r="H4" i="6" s="1"/>
  <c r="O3" i="6"/>
  <c r="L3" i="6"/>
  <c r="K3" i="6"/>
  <c r="G3" i="6"/>
  <c r="F3" i="6"/>
  <c r="H3" i="6" s="1"/>
  <c r="O2" i="6"/>
  <c r="L2" i="6"/>
  <c r="K2" i="6"/>
  <c r="G2" i="6"/>
  <c r="H2" i="6"/>
  <c r="K97" i="5"/>
  <c r="F60" i="10" s="1"/>
  <c r="I97" i="5"/>
  <c r="K96" i="5"/>
  <c r="F83" i="10" s="1"/>
  <c r="I96" i="5"/>
  <c r="K95" i="5"/>
  <c r="I95" i="5"/>
  <c r="K94" i="5"/>
  <c r="I94" i="5"/>
  <c r="K93" i="5"/>
  <c r="I93" i="5"/>
  <c r="K92" i="5"/>
  <c r="I92" i="5"/>
  <c r="K91" i="5"/>
  <c r="I91" i="5"/>
  <c r="K90" i="5"/>
  <c r="I90" i="5"/>
  <c r="K89" i="5"/>
  <c r="I89" i="5"/>
  <c r="K88" i="5"/>
  <c r="F89" i="10" s="1"/>
  <c r="I88" i="5"/>
  <c r="K87" i="5"/>
  <c r="I87" i="5"/>
  <c r="K86" i="5"/>
  <c r="F32" i="10" s="1"/>
  <c r="I86" i="5"/>
  <c r="K85" i="5"/>
  <c r="F82" i="10" s="1"/>
  <c r="I85" i="5"/>
  <c r="K84" i="5"/>
  <c r="F59" i="10" s="1"/>
  <c r="I84" i="5"/>
  <c r="K83" i="5"/>
  <c r="I83" i="5"/>
  <c r="K82" i="5"/>
  <c r="I82" i="5"/>
  <c r="K81" i="5"/>
  <c r="F23" i="10" s="1"/>
  <c r="I81" i="5"/>
  <c r="K80" i="5"/>
  <c r="I80" i="5"/>
  <c r="K79" i="5"/>
  <c r="F21" i="10" s="1"/>
  <c r="I79" i="5"/>
  <c r="K78" i="5"/>
  <c r="I78" i="5"/>
  <c r="K77" i="5"/>
  <c r="F88" i="10" s="1"/>
  <c r="I77" i="5"/>
  <c r="K76" i="5"/>
  <c r="F56" i="10" s="1"/>
  <c r="I76" i="5"/>
  <c r="K75" i="5"/>
  <c r="F36" i="10" s="1"/>
  <c r="I75" i="5"/>
  <c r="K74" i="5"/>
  <c r="F68" i="10" s="1"/>
  <c r="I74" i="5"/>
  <c r="K73" i="5"/>
  <c r="I73" i="5"/>
  <c r="K72" i="5"/>
  <c r="I72" i="5"/>
  <c r="K71" i="5"/>
  <c r="I71" i="5"/>
  <c r="K70" i="5"/>
  <c r="I70" i="5"/>
  <c r="K69" i="5"/>
  <c r="I69" i="5"/>
  <c r="K68" i="5"/>
  <c r="F63" i="10" s="1"/>
  <c r="I68" i="5"/>
  <c r="K67" i="5"/>
  <c r="F80" i="10" s="1"/>
  <c r="I67" i="5"/>
  <c r="K66" i="5"/>
  <c r="I66" i="5"/>
  <c r="K65" i="5"/>
  <c r="F69" i="10" s="1"/>
  <c r="I65" i="5"/>
  <c r="K64" i="5"/>
  <c r="F19" i="10" s="1"/>
  <c r="I64" i="5"/>
  <c r="K63" i="5"/>
  <c r="I63" i="5"/>
  <c r="K62" i="5"/>
  <c r="I62" i="5"/>
  <c r="K61" i="5"/>
  <c r="I61" i="5"/>
  <c r="K60" i="5"/>
  <c r="F73" i="10" s="1"/>
  <c r="I60" i="5"/>
  <c r="K59" i="5"/>
  <c r="F81" i="10" s="1"/>
  <c r="I59" i="5"/>
  <c r="K58" i="5"/>
  <c r="I58" i="5"/>
  <c r="K57" i="5"/>
  <c r="I57" i="5"/>
  <c r="K56" i="5"/>
  <c r="I56" i="5"/>
  <c r="K55" i="5"/>
  <c r="F94" i="10" s="1"/>
  <c r="I55" i="5"/>
  <c r="K54" i="5"/>
  <c r="F86" i="10" s="1"/>
  <c r="I54" i="5"/>
  <c r="K53" i="5"/>
  <c r="I53" i="5"/>
  <c r="K52" i="5"/>
  <c r="I52" i="5"/>
  <c r="K51" i="5"/>
  <c r="F95" i="10" s="1"/>
  <c r="I51" i="5"/>
  <c r="K50" i="5"/>
  <c r="I50" i="5"/>
  <c r="K49" i="5"/>
  <c r="I49" i="5"/>
  <c r="K48" i="5"/>
  <c r="F54" i="10" s="1"/>
  <c r="I48" i="5"/>
  <c r="K47" i="5"/>
  <c r="I47" i="5"/>
  <c r="K46" i="5"/>
  <c r="I46" i="5"/>
  <c r="K45" i="5"/>
  <c r="I45" i="5"/>
  <c r="K44" i="5"/>
  <c r="I44" i="5"/>
  <c r="K43" i="5"/>
  <c r="I43" i="5"/>
  <c r="K42" i="5"/>
  <c r="F64" i="10" s="1"/>
  <c r="I42" i="5"/>
  <c r="K41" i="5"/>
  <c r="F42" i="10" s="1"/>
  <c r="I41" i="5"/>
  <c r="K40" i="5"/>
  <c r="I40" i="5"/>
  <c r="K39" i="5"/>
  <c r="F84" i="10" s="1"/>
  <c r="I39" i="5"/>
  <c r="K38" i="5"/>
  <c r="I38" i="5"/>
  <c r="K37" i="5"/>
  <c r="I37" i="5"/>
  <c r="K36" i="5"/>
  <c r="F46" i="10" s="1"/>
  <c r="I36" i="5"/>
  <c r="K35" i="5"/>
  <c r="F27" i="10" s="1"/>
  <c r="I35" i="5"/>
  <c r="K34" i="5"/>
  <c r="F53" i="10" s="1"/>
  <c r="I34" i="5"/>
  <c r="K33" i="5"/>
  <c r="F6" i="10" s="1"/>
  <c r="I33" i="5"/>
  <c r="K32" i="5"/>
  <c r="I32" i="5"/>
  <c r="K31" i="5"/>
  <c r="I31" i="5"/>
  <c r="K30" i="5"/>
  <c r="F26" i="10" s="1"/>
  <c r="I30" i="5"/>
  <c r="K29" i="5"/>
  <c r="I29" i="5"/>
  <c r="K28" i="5"/>
  <c r="F90" i="10" s="1"/>
  <c r="I28" i="5"/>
  <c r="K27" i="5"/>
  <c r="F58" i="10" s="1"/>
  <c r="I27" i="5"/>
  <c r="K26" i="5"/>
  <c r="F24" i="10" s="1"/>
  <c r="I26" i="5"/>
  <c r="K25" i="5"/>
  <c r="F97" i="10" s="1"/>
  <c r="I25" i="5"/>
  <c r="K24" i="5"/>
  <c r="F66" i="10" s="1"/>
  <c r="I24" i="5"/>
  <c r="K23" i="5"/>
  <c r="F5" i="10" s="1"/>
  <c r="I23" i="5"/>
  <c r="K22" i="5"/>
  <c r="F39" i="10" s="1"/>
  <c r="I22" i="5"/>
  <c r="K21" i="5"/>
  <c r="F96" i="10" s="1"/>
  <c r="I21" i="5"/>
  <c r="K20" i="5"/>
  <c r="F11" i="10" s="1"/>
  <c r="I20" i="5"/>
  <c r="K19" i="5"/>
  <c r="F91" i="10" s="1"/>
  <c r="I19" i="5"/>
  <c r="K18" i="5"/>
  <c r="F4" i="10" s="1"/>
  <c r="I18" i="5"/>
  <c r="K17" i="5"/>
  <c r="F22" i="10" s="1"/>
  <c r="I17" i="5"/>
  <c r="K16" i="5"/>
  <c r="F12" i="10" s="1"/>
  <c r="I16" i="5"/>
  <c r="K15" i="5"/>
  <c r="F70" i="10" s="1"/>
  <c r="I15" i="5"/>
  <c r="K14" i="5"/>
  <c r="F92" i="10" s="1"/>
  <c r="I14" i="5"/>
  <c r="K13" i="5"/>
  <c r="F77" i="10" s="1"/>
  <c r="I13" i="5"/>
  <c r="K12" i="5"/>
  <c r="F29" i="10" s="1"/>
  <c r="I12" i="5"/>
  <c r="K11" i="5"/>
  <c r="F15" i="10" s="1"/>
  <c r="I11" i="5"/>
  <c r="K10" i="5"/>
  <c r="F16" i="10" s="1"/>
  <c r="I10" i="5"/>
  <c r="K9" i="5"/>
  <c r="I9" i="5"/>
  <c r="K8" i="5"/>
  <c r="F74" i="10" s="1"/>
  <c r="I8" i="5"/>
  <c r="K7" i="5"/>
  <c r="F76" i="10" s="1"/>
  <c r="I7" i="5"/>
  <c r="K6" i="5"/>
  <c r="F18" i="10" s="1"/>
  <c r="I6" i="5"/>
  <c r="K5" i="5"/>
  <c r="F33" i="10" s="1"/>
  <c r="I5" i="5"/>
  <c r="K4" i="5"/>
  <c r="F30" i="10" s="1"/>
  <c r="I4" i="5"/>
  <c r="K3" i="5"/>
  <c r="F71" i="10" s="1"/>
  <c r="I3" i="5"/>
  <c r="K2" i="5"/>
  <c r="F44" i="10" s="1"/>
  <c r="I2" i="5"/>
  <c r="H97" i="4"/>
  <c r="H96" i="4"/>
  <c r="H95" i="4"/>
  <c r="H94" i="4"/>
  <c r="H93" i="4"/>
  <c r="H92" i="4"/>
  <c r="H91" i="4"/>
  <c r="H90" i="4"/>
  <c r="H89" i="4"/>
  <c r="H88" i="4"/>
  <c r="H87" i="4"/>
  <c r="H86" i="4"/>
  <c r="H85" i="4"/>
  <c r="H84" i="4"/>
  <c r="H83" i="4"/>
  <c r="H82" i="4"/>
  <c r="H81" i="4"/>
  <c r="H80" i="4"/>
  <c r="H79" i="4"/>
  <c r="H78" i="4"/>
  <c r="H77" i="4"/>
  <c r="H76" i="4"/>
  <c r="H75" i="4"/>
  <c r="H74" i="4"/>
  <c r="H73" i="4"/>
  <c r="H72" i="4"/>
  <c r="H71" i="4"/>
  <c r="H70" i="4"/>
  <c r="H69" i="4"/>
  <c r="H68" i="4"/>
  <c r="H67" i="4"/>
  <c r="H66" i="4"/>
  <c r="H65" i="4"/>
  <c r="H64" i="4"/>
  <c r="H63" i="4"/>
  <c r="H62" i="4"/>
  <c r="H61" i="4"/>
  <c r="H60" i="4"/>
  <c r="H59" i="4"/>
  <c r="H58" i="4"/>
  <c r="H57" i="4"/>
  <c r="H56" i="4"/>
  <c r="H55" i="4"/>
  <c r="H54" i="4"/>
  <c r="H53" i="4"/>
  <c r="H52" i="4"/>
  <c r="H51" i="4"/>
  <c r="H50" i="4"/>
  <c r="H49" i="4"/>
  <c r="H48" i="4"/>
  <c r="H47" i="4"/>
  <c r="H46" i="4"/>
  <c r="H45" i="4"/>
  <c r="H44" i="4"/>
  <c r="H43" i="4"/>
  <c r="H42" i="4"/>
  <c r="H41" i="4"/>
  <c r="H40" i="4"/>
  <c r="H39" i="4"/>
  <c r="H38" i="4"/>
  <c r="H37" i="4"/>
  <c r="H36" i="4"/>
  <c r="H35" i="4"/>
  <c r="H34" i="4"/>
  <c r="H33" i="4"/>
  <c r="H32" i="4"/>
  <c r="H31" i="4"/>
  <c r="H30" i="4"/>
  <c r="H29" i="4"/>
  <c r="H28" i="4"/>
  <c r="H27" i="4"/>
  <c r="H26" i="4"/>
  <c r="H25" i="4"/>
  <c r="H24" i="4"/>
  <c r="H23" i="4"/>
  <c r="H22" i="4"/>
  <c r="H21" i="4"/>
  <c r="H20" i="4"/>
  <c r="H19" i="4"/>
  <c r="H18" i="4"/>
  <c r="H17" i="4"/>
  <c r="H16" i="4"/>
  <c r="H15" i="4"/>
  <c r="H14" i="4"/>
  <c r="H13" i="4"/>
  <c r="H12" i="4"/>
  <c r="H11" i="4"/>
  <c r="H10" i="4"/>
  <c r="H9" i="4"/>
  <c r="H8" i="4"/>
  <c r="H7" i="4"/>
  <c r="H6" i="4"/>
  <c r="H5" i="4"/>
  <c r="H4" i="4"/>
  <c r="H3" i="4"/>
  <c r="H2" i="4"/>
  <c r="P7" i="1"/>
  <c r="J7" i="1"/>
  <c r="D7" i="1"/>
  <c r="B14" i="2" l="1" a="1"/>
  <c r="B14" i="2" s="1"/>
  <c r="E44" i="10"/>
  <c r="G44" i="10" s="1"/>
  <c r="H44" i="10" s="1"/>
  <c r="O2" i="5"/>
  <c r="L2" i="5"/>
  <c r="E71" i="10"/>
  <c r="G71" i="10" s="1"/>
  <c r="H71" i="10" s="1"/>
  <c r="O3" i="5"/>
  <c r="L3" i="5"/>
  <c r="E30" i="10"/>
  <c r="G30" i="10" s="1"/>
  <c r="H30" i="10" s="1"/>
  <c r="O4" i="5"/>
  <c r="L4" i="5"/>
  <c r="E33" i="10"/>
  <c r="G33" i="10" s="1"/>
  <c r="H33" i="10" s="1"/>
  <c r="O5" i="5"/>
  <c r="L5" i="5"/>
  <c r="E18" i="10"/>
  <c r="G18" i="10" s="1"/>
  <c r="H18" i="10" s="1"/>
  <c r="O6" i="5"/>
  <c r="L6" i="5"/>
  <c r="E76" i="10"/>
  <c r="G76" i="10" s="1"/>
  <c r="H76" i="10" s="1"/>
  <c r="O7" i="5"/>
  <c r="L7" i="5"/>
  <c r="E74" i="10"/>
  <c r="G74" i="10" s="1"/>
  <c r="H74" i="10" s="1"/>
  <c r="O8" i="5"/>
  <c r="L8" i="5"/>
  <c r="O9" i="5"/>
  <c r="L9" i="5"/>
  <c r="E16" i="10"/>
  <c r="G16" i="10" s="1"/>
  <c r="H16" i="10" s="1"/>
  <c r="O10" i="5"/>
  <c r="L10" i="5"/>
  <c r="E15" i="10"/>
  <c r="G15" i="10" s="1"/>
  <c r="H15" i="10" s="1"/>
  <c r="O11" i="5"/>
  <c r="L11" i="5"/>
  <c r="E29" i="10"/>
  <c r="G29" i="10" s="1"/>
  <c r="H29" i="10" s="1"/>
  <c r="O12" i="5"/>
  <c r="L12" i="5"/>
  <c r="E77" i="10"/>
  <c r="G77" i="10" s="1"/>
  <c r="H77" i="10" s="1"/>
  <c r="O13" i="5"/>
  <c r="L13" i="5"/>
  <c r="E92" i="10"/>
  <c r="G92" i="10" s="1"/>
  <c r="H92" i="10" s="1"/>
  <c r="O14" i="5"/>
  <c r="L14" i="5"/>
  <c r="E70" i="10"/>
  <c r="G70" i="10" s="1"/>
  <c r="H70" i="10" s="1"/>
  <c r="O15" i="5"/>
  <c r="L15" i="5"/>
  <c r="E12" i="10"/>
  <c r="G12" i="10" s="1"/>
  <c r="H12" i="10" s="1"/>
  <c r="O16" i="5"/>
  <c r="L16" i="5"/>
  <c r="E22" i="10"/>
  <c r="G22" i="10" s="1"/>
  <c r="H22" i="10" s="1"/>
  <c r="O17" i="5"/>
  <c r="L17" i="5"/>
  <c r="E4" i="10"/>
  <c r="G4" i="10" s="1"/>
  <c r="H4" i="10" s="1"/>
  <c r="O18" i="5"/>
  <c r="L18" i="5"/>
  <c r="E91" i="10"/>
  <c r="G91" i="10" s="1"/>
  <c r="H91" i="10" s="1"/>
  <c r="O19" i="5"/>
  <c r="L19" i="5"/>
  <c r="E11" i="10"/>
  <c r="G11" i="10" s="1"/>
  <c r="H11" i="10" s="1"/>
  <c r="O20" i="5"/>
  <c r="L20" i="5"/>
  <c r="E96" i="10"/>
  <c r="G96" i="10" s="1"/>
  <c r="H96" i="10" s="1"/>
  <c r="O21" i="5"/>
  <c r="L21" i="5"/>
  <c r="E39" i="10"/>
  <c r="G39" i="10" s="1"/>
  <c r="H39" i="10" s="1"/>
  <c r="O22" i="5"/>
  <c r="L22" i="5"/>
  <c r="E5" i="10"/>
  <c r="G5" i="10" s="1"/>
  <c r="H5" i="10" s="1"/>
  <c r="O23" i="5"/>
  <c r="L23" i="5"/>
  <c r="E66" i="10"/>
  <c r="G66" i="10" s="1"/>
  <c r="H66" i="10" s="1"/>
  <c r="O24" i="5"/>
  <c r="L24" i="5"/>
  <c r="E97" i="10"/>
  <c r="G97" i="10" s="1"/>
  <c r="H97" i="10" s="1"/>
  <c r="O25" i="5"/>
  <c r="L25" i="5"/>
  <c r="E24" i="10"/>
  <c r="G24" i="10" s="1"/>
  <c r="H24" i="10" s="1"/>
  <c r="O26" i="5"/>
  <c r="L26" i="5"/>
  <c r="E58" i="10"/>
  <c r="G58" i="10" s="1"/>
  <c r="H58" i="10" s="1"/>
  <c r="O27" i="5"/>
  <c r="L27" i="5"/>
  <c r="E90" i="10"/>
  <c r="G90" i="10" s="1"/>
  <c r="H90" i="10" s="1"/>
  <c r="O28" i="5"/>
  <c r="L28" i="5"/>
  <c r="O29" i="5"/>
  <c r="L29" i="5"/>
  <c r="E26" i="10"/>
  <c r="G26" i="10" s="1"/>
  <c r="H26" i="10" s="1"/>
  <c r="O30" i="5"/>
  <c r="L30" i="5"/>
  <c r="O31" i="5"/>
  <c r="L31" i="5"/>
  <c r="O32" i="5"/>
  <c r="L32" i="5"/>
  <c r="E6" i="10"/>
  <c r="G6" i="10" s="1"/>
  <c r="H6" i="10" s="1"/>
  <c r="O33" i="5"/>
  <c r="L33" i="5"/>
  <c r="E53" i="10"/>
  <c r="G53" i="10" s="1"/>
  <c r="H53" i="10" s="1"/>
  <c r="O34" i="5"/>
  <c r="L34" i="5"/>
  <c r="E27" i="10"/>
  <c r="G27" i="10" s="1"/>
  <c r="H27" i="10" s="1"/>
  <c r="O35" i="5"/>
  <c r="L35" i="5"/>
  <c r="E46" i="10"/>
  <c r="G46" i="10" s="1"/>
  <c r="H46" i="10" s="1"/>
  <c r="O36" i="5"/>
  <c r="L36" i="5"/>
  <c r="O37" i="5"/>
  <c r="L37" i="5"/>
  <c r="O38" i="5"/>
  <c r="L38" i="5"/>
  <c r="E84" i="10"/>
  <c r="G84" i="10" s="1"/>
  <c r="H84" i="10" s="1"/>
  <c r="O39" i="5"/>
  <c r="L39" i="5"/>
  <c r="O40" i="5"/>
  <c r="L40" i="5"/>
  <c r="E42" i="10"/>
  <c r="G42" i="10" s="1"/>
  <c r="H42" i="10" s="1"/>
  <c r="O41" i="5"/>
  <c r="L41" i="5"/>
  <c r="E64" i="10"/>
  <c r="G64" i="10" s="1"/>
  <c r="H64" i="10" s="1"/>
  <c r="O42" i="5"/>
  <c r="L42" i="5"/>
  <c r="O43" i="5"/>
  <c r="L43" i="5"/>
  <c r="O44" i="5"/>
  <c r="L44" i="5"/>
  <c r="O45" i="5"/>
  <c r="L45" i="5"/>
  <c r="O46" i="5"/>
  <c r="L46" i="5"/>
  <c r="O47" i="5"/>
  <c r="L47" i="5"/>
  <c r="E54" i="10"/>
  <c r="G54" i="10" s="1"/>
  <c r="H54" i="10" s="1"/>
  <c r="O48" i="5"/>
  <c r="L48" i="5"/>
  <c r="O49" i="5"/>
  <c r="L49" i="5"/>
  <c r="O50" i="5"/>
  <c r="L50" i="5"/>
  <c r="E95" i="10"/>
  <c r="G95" i="10" s="1"/>
  <c r="H95" i="10" s="1"/>
  <c r="O51" i="5"/>
  <c r="L51" i="5"/>
  <c r="O52" i="5"/>
  <c r="L52" i="5"/>
  <c r="O53" i="5"/>
  <c r="L53" i="5"/>
  <c r="E86" i="10"/>
  <c r="G86" i="10" s="1"/>
  <c r="H86" i="10" s="1"/>
  <c r="O54" i="5"/>
  <c r="L54" i="5"/>
  <c r="E94" i="10"/>
  <c r="G94" i="10" s="1"/>
  <c r="H94" i="10" s="1"/>
  <c r="O55" i="5"/>
  <c r="L55" i="5"/>
  <c r="O56" i="5"/>
  <c r="L56" i="5"/>
  <c r="O57" i="5"/>
  <c r="L57" i="5"/>
  <c r="O58" i="5"/>
  <c r="L58" i="5"/>
  <c r="E81" i="10"/>
  <c r="G81" i="10" s="1"/>
  <c r="H81" i="10" s="1"/>
  <c r="O59" i="5"/>
  <c r="L59" i="5"/>
  <c r="E73" i="10"/>
  <c r="G73" i="10" s="1"/>
  <c r="H73" i="10" s="1"/>
  <c r="O60" i="5"/>
  <c r="L60" i="5"/>
  <c r="O61" i="5"/>
  <c r="L61" i="5"/>
  <c r="O62" i="5"/>
  <c r="L62" i="5"/>
  <c r="O63" i="5"/>
  <c r="L63" i="5"/>
  <c r="E19" i="10"/>
  <c r="G19" i="10" s="1"/>
  <c r="H19" i="10" s="1"/>
  <c r="O64" i="5"/>
  <c r="L64" i="5"/>
  <c r="E69" i="10"/>
  <c r="G69" i="10" s="1"/>
  <c r="H69" i="10" s="1"/>
  <c r="O65" i="5"/>
  <c r="L65" i="5"/>
  <c r="O66" i="5"/>
  <c r="L66" i="5"/>
  <c r="E80" i="10"/>
  <c r="G80" i="10" s="1"/>
  <c r="H80" i="10" s="1"/>
  <c r="O67" i="5"/>
  <c r="L67" i="5"/>
  <c r="E63" i="10"/>
  <c r="G63" i="10" s="1"/>
  <c r="H63" i="10" s="1"/>
  <c r="O68" i="5"/>
  <c r="L68" i="5"/>
  <c r="O69" i="5"/>
  <c r="L69" i="5"/>
  <c r="O70" i="5"/>
  <c r="L70" i="5"/>
  <c r="O71" i="5"/>
  <c r="L71" i="5"/>
  <c r="O72" i="5"/>
  <c r="L72" i="5"/>
  <c r="O73" i="5"/>
  <c r="L73" i="5"/>
  <c r="E68" i="10"/>
  <c r="G68" i="10" s="1"/>
  <c r="H68" i="10" s="1"/>
  <c r="O74" i="5"/>
  <c r="L74" i="5"/>
  <c r="E36" i="10"/>
  <c r="G36" i="10" s="1"/>
  <c r="H36" i="10" s="1"/>
  <c r="O75" i="5"/>
  <c r="L75" i="5"/>
  <c r="E56" i="10"/>
  <c r="G56" i="10" s="1"/>
  <c r="H56" i="10" s="1"/>
  <c r="O76" i="5"/>
  <c r="L76" i="5"/>
  <c r="E88" i="10"/>
  <c r="G88" i="10" s="1"/>
  <c r="H88" i="10" s="1"/>
  <c r="O77" i="5"/>
  <c r="L77" i="5"/>
  <c r="O78" i="5"/>
  <c r="L78" i="5"/>
  <c r="E21" i="10"/>
  <c r="G21" i="10" s="1"/>
  <c r="H21" i="10" s="1"/>
  <c r="O79" i="5"/>
  <c r="L79" i="5"/>
  <c r="O80" i="5"/>
  <c r="L80" i="5"/>
  <c r="E23" i="10"/>
  <c r="G23" i="10" s="1"/>
  <c r="H23" i="10" s="1"/>
  <c r="O81" i="5"/>
  <c r="L81" i="5"/>
  <c r="O82" i="5"/>
  <c r="L82" i="5"/>
  <c r="O83" i="5"/>
  <c r="L83" i="5"/>
  <c r="E59" i="10"/>
  <c r="G59" i="10" s="1"/>
  <c r="H59" i="10" s="1"/>
  <c r="O84" i="5"/>
  <c r="L84" i="5"/>
  <c r="E82" i="10"/>
  <c r="G82" i="10" s="1"/>
  <c r="H82" i="10" s="1"/>
  <c r="O85" i="5"/>
  <c r="L85" i="5"/>
  <c r="E32" i="10"/>
  <c r="G32" i="10" s="1"/>
  <c r="H32" i="10" s="1"/>
  <c r="O86" i="5"/>
  <c r="L86" i="5"/>
  <c r="O87" i="5"/>
  <c r="L87" i="5"/>
  <c r="E89" i="10"/>
  <c r="G89" i="10" s="1"/>
  <c r="H89" i="10" s="1"/>
  <c r="O88" i="5"/>
  <c r="L88" i="5"/>
  <c r="O89" i="5"/>
  <c r="L89" i="5"/>
  <c r="O90" i="5"/>
  <c r="L90" i="5"/>
  <c r="O91" i="5"/>
  <c r="L91" i="5"/>
  <c r="O92" i="5"/>
  <c r="L92" i="5"/>
  <c r="O93" i="5"/>
  <c r="L93" i="5"/>
  <c r="O94" i="5"/>
  <c r="L94" i="5"/>
  <c r="O95" i="5"/>
  <c r="L95" i="5"/>
  <c r="E83" i="10"/>
  <c r="G83" i="10" s="1"/>
  <c r="H83" i="10" s="1"/>
  <c r="O96" i="5"/>
  <c r="L96" i="5"/>
  <c r="E60" i="10"/>
  <c r="G60" i="10" s="1"/>
  <c r="H60" i="10" s="1"/>
  <c r="O97" i="5"/>
  <c r="L97" i="5"/>
  <c r="N2" i="6"/>
  <c r="M2" i="6"/>
  <c r="J2" i="6"/>
  <c r="N3" i="6"/>
  <c r="M3" i="6"/>
  <c r="J3" i="6"/>
  <c r="N4" i="6"/>
  <c r="M4" i="6"/>
  <c r="J4" i="6"/>
  <c r="N5" i="6"/>
  <c r="M5" i="6"/>
  <c r="J5" i="6"/>
  <c r="N6" i="6"/>
  <c r="M6" i="6"/>
  <c r="J6" i="6"/>
  <c r="N7" i="6"/>
  <c r="M7" i="6"/>
  <c r="J7" i="6"/>
  <c r="N8" i="6"/>
  <c r="M8" i="6"/>
  <c r="J8" i="6"/>
  <c r="N9" i="6"/>
  <c r="M9" i="6"/>
  <c r="J9" i="6"/>
  <c r="N10" i="6"/>
  <c r="M10" i="6"/>
  <c r="J10" i="6"/>
  <c r="N11" i="6"/>
  <c r="M11" i="6"/>
  <c r="J11" i="6"/>
  <c r="N12" i="6"/>
  <c r="M12" i="6"/>
  <c r="J12" i="6"/>
  <c r="N13" i="6"/>
  <c r="M13" i="6"/>
  <c r="J13" i="6"/>
  <c r="N14" i="6"/>
  <c r="M14" i="6"/>
  <c r="J14" i="6"/>
  <c r="N15" i="6"/>
  <c r="M15" i="6"/>
  <c r="J15" i="6"/>
  <c r="N16" i="6"/>
  <c r="M16" i="6"/>
  <c r="J16" i="6"/>
  <c r="N17" i="6"/>
  <c r="M17" i="6"/>
  <c r="J17" i="6"/>
  <c r="N18" i="6"/>
  <c r="M18" i="6"/>
  <c r="J18" i="6"/>
  <c r="N19" i="6"/>
  <c r="M19" i="6"/>
  <c r="J19" i="6"/>
  <c r="N20" i="6"/>
  <c r="M20" i="6"/>
  <c r="J20" i="6"/>
  <c r="N21" i="6"/>
  <c r="M21" i="6"/>
  <c r="J21" i="6"/>
  <c r="N22" i="6"/>
  <c r="M22" i="6"/>
  <c r="J22" i="6"/>
  <c r="N23" i="6"/>
  <c r="M23" i="6"/>
  <c r="J23" i="6"/>
  <c r="N24" i="6"/>
  <c r="M24" i="6"/>
  <c r="J24" i="6"/>
  <c r="N25" i="6"/>
  <c r="M25" i="6"/>
  <c r="J25" i="6"/>
  <c r="N26" i="6"/>
  <c r="M26" i="6"/>
  <c r="J26" i="6"/>
  <c r="N27" i="6"/>
  <c r="M27" i="6"/>
  <c r="J27" i="6"/>
  <c r="N28" i="6"/>
  <c r="M28" i="6"/>
  <c r="J28" i="6"/>
  <c r="N29" i="6"/>
  <c r="M29" i="6"/>
  <c r="J29" i="6"/>
  <c r="N30" i="6"/>
  <c r="M30" i="6"/>
  <c r="J30" i="6"/>
  <c r="N31" i="6"/>
  <c r="M31" i="6"/>
  <c r="J31" i="6"/>
  <c r="N32" i="6"/>
  <c r="M32" i="6"/>
  <c r="J32" i="6"/>
  <c r="N33" i="6"/>
  <c r="M33" i="6"/>
  <c r="J33" i="6"/>
  <c r="N34" i="6"/>
  <c r="M34" i="6"/>
  <c r="J34" i="6"/>
  <c r="N35" i="6"/>
  <c r="M35" i="6"/>
  <c r="J35" i="6"/>
  <c r="N36" i="6"/>
  <c r="M36" i="6"/>
  <c r="J36" i="6"/>
  <c r="N37" i="6"/>
  <c r="M37" i="6"/>
  <c r="J37" i="6"/>
  <c r="N38" i="6"/>
  <c r="M38" i="6"/>
  <c r="J38" i="6"/>
  <c r="N39" i="6"/>
  <c r="M39" i="6"/>
  <c r="J39" i="6"/>
  <c r="N40" i="6"/>
  <c r="M40" i="6"/>
  <c r="J40" i="6"/>
  <c r="N41" i="6"/>
  <c r="M41" i="6"/>
  <c r="J41" i="6"/>
  <c r="N42" i="6"/>
  <c r="M42" i="6"/>
  <c r="J42" i="6"/>
  <c r="N43" i="6"/>
  <c r="M43" i="6"/>
  <c r="J43" i="6"/>
  <c r="N44" i="6"/>
  <c r="M44" i="6"/>
  <c r="J44" i="6"/>
  <c r="N45" i="6"/>
  <c r="M45" i="6"/>
  <c r="J45" i="6"/>
  <c r="N46" i="6"/>
  <c r="M46" i="6"/>
  <c r="J46" i="6"/>
  <c r="N47" i="6"/>
  <c r="M47" i="6"/>
  <c r="J47" i="6"/>
  <c r="N48" i="6"/>
  <c r="M48" i="6"/>
  <c r="J48" i="6"/>
  <c r="N49" i="6"/>
  <c r="M49" i="6"/>
  <c r="J49" i="6"/>
  <c r="N50" i="6"/>
  <c r="M50" i="6"/>
  <c r="J50" i="6"/>
  <c r="N51" i="6"/>
  <c r="M51" i="6"/>
  <c r="J51" i="6"/>
  <c r="N52" i="6"/>
  <c r="M52" i="6"/>
  <c r="J52" i="6"/>
  <c r="N53" i="6"/>
  <c r="M53" i="6"/>
  <c r="J53" i="6"/>
  <c r="N54" i="6"/>
  <c r="M54" i="6"/>
  <c r="J54" i="6"/>
  <c r="N55" i="6"/>
  <c r="M55" i="6"/>
  <c r="J55" i="6"/>
  <c r="N56" i="6"/>
  <c r="M56" i="6"/>
  <c r="J56" i="6"/>
  <c r="N57" i="6"/>
  <c r="M57" i="6"/>
  <c r="J57" i="6"/>
  <c r="N58" i="6"/>
  <c r="M58" i="6"/>
  <c r="J58" i="6"/>
  <c r="N59" i="6"/>
  <c r="M59" i="6"/>
  <c r="J59" i="6"/>
  <c r="N60" i="6"/>
  <c r="M60" i="6"/>
  <c r="J60" i="6"/>
  <c r="N61" i="6"/>
  <c r="M61" i="6"/>
  <c r="J61" i="6"/>
  <c r="N62" i="6"/>
  <c r="M62" i="6"/>
  <c r="J62" i="6"/>
  <c r="N63" i="6"/>
  <c r="M63" i="6"/>
  <c r="J63" i="6"/>
  <c r="N64" i="6"/>
  <c r="M64" i="6"/>
  <c r="J64" i="6"/>
  <c r="N65" i="6"/>
  <c r="M65" i="6"/>
  <c r="J65" i="6"/>
  <c r="N66" i="6"/>
  <c r="M66" i="6"/>
  <c r="J66" i="6"/>
  <c r="N67" i="6"/>
  <c r="M67" i="6"/>
  <c r="J67" i="6"/>
  <c r="N68" i="6"/>
  <c r="M68" i="6"/>
  <c r="J68" i="6"/>
  <c r="N69" i="6"/>
  <c r="M69" i="6"/>
  <c r="J69" i="6"/>
  <c r="N70" i="6"/>
  <c r="M70" i="6"/>
  <c r="J70" i="6"/>
  <c r="N71" i="6"/>
  <c r="M71" i="6"/>
  <c r="J71" i="6"/>
  <c r="N72" i="6"/>
  <c r="M72" i="6"/>
  <c r="J72" i="6"/>
  <c r="N73" i="6"/>
  <c r="M73" i="6"/>
  <c r="J73" i="6"/>
  <c r="N74" i="6"/>
  <c r="M74" i="6"/>
  <c r="J74" i="6"/>
  <c r="N75" i="6"/>
  <c r="M75" i="6"/>
  <c r="J75" i="6"/>
  <c r="N76" i="6"/>
  <c r="M76" i="6"/>
  <c r="J76" i="6"/>
  <c r="N77" i="6"/>
  <c r="M77" i="6"/>
  <c r="J77" i="6"/>
  <c r="N78" i="6"/>
  <c r="M78" i="6"/>
  <c r="J78" i="6"/>
  <c r="N79" i="6"/>
  <c r="M79" i="6"/>
  <c r="J79" i="6"/>
  <c r="N80" i="6"/>
  <c r="M80" i="6"/>
  <c r="J80" i="6"/>
  <c r="N81" i="6"/>
  <c r="M81" i="6"/>
  <c r="J81" i="6"/>
  <c r="N82" i="6"/>
  <c r="M82" i="6"/>
  <c r="J82" i="6"/>
  <c r="N83" i="6"/>
  <c r="M83" i="6"/>
  <c r="J83" i="6"/>
  <c r="N84" i="6"/>
  <c r="M84" i="6"/>
  <c r="J84" i="6"/>
  <c r="N85" i="6"/>
  <c r="M85" i="6"/>
  <c r="J85" i="6"/>
  <c r="N86" i="6"/>
  <c r="M86" i="6"/>
  <c r="J86" i="6"/>
  <c r="N87" i="6"/>
  <c r="M87" i="6"/>
  <c r="J87" i="6"/>
  <c r="N88" i="6"/>
  <c r="M88" i="6"/>
  <c r="J88" i="6"/>
  <c r="N89" i="6"/>
  <c r="M89" i="6"/>
  <c r="J89" i="6"/>
  <c r="N90" i="6"/>
  <c r="M90" i="6"/>
  <c r="J90" i="6"/>
  <c r="N91" i="6"/>
  <c r="M91" i="6"/>
  <c r="J91" i="6"/>
  <c r="N92" i="6"/>
  <c r="M92" i="6"/>
  <c r="J92" i="6"/>
  <c r="N93" i="6"/>
  <c r="M93" i="6"/>
  <c r="J93" i="6"/>
  <c r="N94" i="6"/>
  <c r="M94" i="6"/>
  <c r="J94" i="6"/>
  <c r="N95" i="6"/>
  <c r="M95" i="6"/>
  <c r="J95" i="6"/>
  <c r="N96" i="6"/>
  <c r="M96" i="6"/>
  <c r="J96" i="6"/>
  <c r="N97" i="6"/>
  <c r="M97" i="6"/>
  <c r="J97" i="6"/>
  <c r="H3" i="8"/>
  <c r="G3" i="8"/>
  <c r="F3" i="8"/>
  <c r="H4" i="8"/>
  <c r="G4" i="8"/>
  <c r="F4" i="8"/>
  <c r="H5" i="8"/>
  <c r="G5" i="8"/>
  <c r="F5" i="8"/>
  <c r="H6" i="8"/>
  <c r="G6" i="8"/>
  <c r="F6" i="8"/>
  <c r="G7" i="8"/>
  <c r="F7" i="8"/>
  <c r="H8" i="8"/>
  <c r="G8" i="8"/>
  <c r="F8" i="8"/>
  <c r="H9" i="8"/>
  <c r="G9" i="8"/>
  <c r="F9" i="8"/>
  <c r="H10" i="8"/>
  <c r="G10" i="8"/>
  <c r="F10" i="8"/>
  <c r="H11" i="8"/>
  <c r="G11" i="8"/>
  <c r="F11" i="8"/>
  <c r="H12" i="8"/>
  <c r="G12" i="8"/>
  <c r="F12" i="8"/>
  <c r="H13" i="8"/>
  <c r="G13" i="8"/>
  <c r="F13" i="8"/>
  <c r="H14" i="8"/>
  <c r="G14" i="8"/>
  <c r="F14" i="8"/>
  <c r="H15" i="8"/>
  <c r="G15" i="8"/>
  <c r="F15" i="8"/>
  <c r="H16" i="8"/>
  <c r="G16" i="8"/>
  <c r="F16" i="8"/>
  <c r="H17" i="8"/>
  <c r="G17" i="8"/>
  <c r="F17" i="8"/>
  <c r="H18" i="8"/>
  <c r="G18" i="8"/>
  <c r="F18" i="8"/>
  <c r="H19" i="8"/>
  <c r="G19" i="8"/>
  <c r="F19" i="8"/>
  <c r="H20" i="8"/>
  <c r="G20" i="8"/>
  <c r="F20" i="8"/>
  <c r="H21" i="8"/>
  <c r="G21" i="8"/>
  <c r="F21" i="8"/>
  <c r="H22" i="8"/>
  <c r="G22" i="8"/>
  <c r="F22" i="8"/>
  <c r="H23" i="8"/>
  <c r="G23" i="8"/>
  <c r="F23" i="8"/>
  <c r="H24" i="8"/>
  <c r="G24" i="8"/>
  <c r="F24" i="8"/>
  <c r="H25" i="8"/>
  <c r="G25" i="8"/>
  <c r="F25" i="8"/>
  <c r="H26" i="8"/>
  <c r="G26" i="8"/>
  <c r="F26" i="8"/>
  <c r="H27" i="8"/>
  <c r="G27" i="8"/>
  <c r="F27" i="8"/>
  <c r="H28" i="8"/>
  <c r="G28" i="8"/>
  <c r="F28" i="8"/>
  <c r="H29" i="8"/>
  <c r="G29" i="8"/>
  <c r="F29" i="8"/>
  <c r="H30" i="8"/>
  <c r="G30" i="8"/>
  <c r="F30" i="8"/>
  <c r="H31" i="8"/>
  <c r="G31" i="8"/>
  <c r="F31" i="8"/>
  <c r="H32" i="8"/>
  <c r="G32" i="8"/>
  <c r="F32" i="8"/>
  <c r="H33" i="8"/>
  <c r="G33" i="8"/>
  <c r="F33" i="8"/>
  <c r="H34" i="8"/>
  <c r="G34" i="8"/>
  <c r="F34" i="8"/>
  <c r="H35" i="8"/>
  <c r="G35" i="8"/>
  <c r="F35" i="8"/>
  <c r="H36" i="8"/>
  <c r="G36" i="8"/>
  <c r="F36" i="8"/>
  <c r="H37" i="8"/>
  <c r="G37" i="8"/>
  <c r="F37" i="8"/>
  <c r="H38" i="8"/>
  <c r="G38" i="8"/>
  <c r="F38" i="8"/>
  <c r="H39" i="8"/>
  <c r="G39" i="8"/>
  <c r="F39" i="8"/>
  <c r="H40" i="8"/>
  <c r="G40" i="8"/>
  <c r="F40" i="8"/>
  <c r="H41" i="8"/>
  <c r="G41" i="8"/>
  <c r="F41" i="8"/>
  <c r="H42" i="8"/>
  <c r="G42" i="8"/>
  <c r="F42" i="8"/>
  <c r="H43" i="8"/>
  <c r="G43" i="8"/>
  <c r="F43" i="8"/>
  <c r="H44" i="8"/>
  <c r="G44" i="8"/>
  <c r="F44" i="8"/>
  <c r="H45" i="8"/>
  <c r="G45" i="8"/>
  <c r="F45" i="8"/>
  <c r="H46" i="8"/>
  <c r="G46" i="8"/>
  <c r="F46" i="8"/>
  <c r="H47" i="8"/>
  <c r="G47" i="8"/>
  <c r="F47" i="8"/>
  <c r="H48" i="8"/>
  <c r="G48" i="8"/>
  <c r="F48" i="8"/>
  <c r="H49" i="8"/>
  <c r="G49" i="8"/>
  <c r="F49" i="8"/>
  <c r="H50" i="8"/>
  <c r="G50" i="8"/>
  <c r="F50" i="8"/>
  <c r="H51" i="8"/>
  <c r="G51" i="8"/>
  <c r="F51" i="8"/>
  <c r="H52" i="8"/>
  <c r="G52" i="8"/>
  <c r="F52" i="8"/>
  <c r="H53" i="8"/>
  <c r="G53" i="8"/>
  <c r="F53" i="8"/>
  <c r="H54" i="8"/>
  <c r="G54" i="8"/>
  <c r="F54" i="8"/>
  <c r="H55" i="8"/>
  <c r="G55" i="8"/>
  <c r="F55" i="8"/>
  <c r="H56" i="8"/>
  <c r="G56" i="8"/>
  <c r="F56" i="8"/>
  <c r="H57" i="8"/>
  <c r="G57" i="8"/>
  <c r="F57" i="8"/>
  <c r="H58" i="8"/>
  <c r="G58" i="8"/>
  <c r="F58" i="8"/>
  <c r="H59" i="8"/>
  <c r="G59" i="8"/>
  <c r="F59" i="8"/>
  <c r="H60" i="8"/>
  <c r="G60" i="8"/>
  <c r="F60" i="8"/>
  <c r="H61" i="8"/>
  <c r="G61" i="8"/>
  <c r="F61" i="8"/>
  <c r="H62" i="8"/>
  <c r="G62" i="8"/>
  <c r="F62" i="8"/>
  <c r="H63" i="8"/>
  <c r="G63" i="8"/>
  <c r="F63" i="8"/>
  <c r="H64" i="8"/>
  <c r="G64" i="8"/>
  <c r="F64" i="8"/>
  <c r="H65" i="8"/>
  <c r="G65" i="8"/>
  <c r="F65" i="8"/>
  <c r="H66" i="8"/>
  <c r="G66" i="8"/>
  <c r="F66" i="8"/>
  <c r="H67" i="8"/>
  <c r="G67" i="8"/>
  <c r="F67" i="8"/>
  <c r="H68" i="8"/>
  <c r="G68" i="8"/>
  <c r="F68" i="8"/>
  <c r="H69" i="8"/>
  <c r="G69" i="8"/>
  <c r="F69" i="8"/>
  <c r="H70" i="8"/>
  <c r="G70" i="8"/>
  <c r="F70" i="8"/>
  <c r="H71" i="8"/>
  <c r="G71" i="8"/>
  <c r="F71" i="8"/>
  <c r="H72" i="8"/>
  <c r="G72" i="8"/>
  <c r="F72" i="8"/>
  <c r="H73" i="8"/>
  <c r="G73" i="8"/>
  <c r="F73" i="8"/>
  <c r="H74" i="8"/>
  <c r="G74" i="8"/>
  <c r="F74" i="8"/>
  <c r="H75" i="8"/>
  <c r="G75" i="8"/>
  <c r="F75" i="8"/>
  <c r="H76" i="8"/>
  <c r="G76" i="8"/>
  <c r="F76" i="8"/>
  <c r="H77" i="8"/>
  <c r="G77" i="8"/>
  <c r="F77" i="8"/>
  <c r="H78" i="8"/>
  <c r="G78" i="8"/>
  <c r="F78" i="8"/>
  <c r="H79" i="8"/>
  <c r="G79" i="8"/>
  <c r="F79" i="8"/>
  <c r="H80" i="8"/>
  <c r="G80" i="8"/>
  <c r="F80" i="8"/>
  <c r="H81" i="8"/>
  <c r="G81" i="8"/>
  <c r="F81" i="8"/>
  <c r="H82" i="8"/>
  <c r="G82" i="8"/>
  <c r="F82" i="8"/>
  <c r="H83" i="8"/>
  <c r="G83" i="8"/>
  <c r="F83" i="8"/>
  <c r="H84" i="8"/>
  <c r="G84" i="8"/>
  <c r="F84" i="8"/>
  <c r="H85" i="8"/>
  <c r="G85" i="8"/>
  <c r="F85" i="8"/>
  <c r="H86" i="8"/>
  <c r="G86" i="8"/>
  <c r="F86" i="8"/>
  <c r="H87" i="8"/>
  <c r="G87" i="8"/>
  <c r="F87" i="8"/>
  <c r="H88" i="8"/>
  <c r="G88" i="8"/>
  <c r="F88" i="8"/>
  <c r="H89" i="8"/>
  <c r="G89" i="8"/>
  <c r="F89" i="8"/>
  <c r="H90" i="8"/>
  <c r="G90" i="8"/>
  <c r="F90" i="8"/>
  <c r="H91" i="8"/>
  <c r="G91" i="8"/>
  <c r="F91" i="8"/>
  <c r="H92" i="8"/>
  <c r="G92" i="8"/>
  <c r="F92" i="8"/>
  <c r="H93" i="8"/>
  <c r="G93" i="8"/>
  <c r="F93" i="8"/>
  <c r="H94" i="8"/>
  <c r="G94" i="8"/>
  <c r="F94" i="8"/>
  <c r="H95" i="8"/>
  <c r="G95" i="8"/>
  <c r="F95" i="8"/>
  <c r="H96" i="8"/>
  <c r="G96" i="8"/>
  <c r="F96" i="8"/>
  <c r="H97" i="8"/>
  <c r="G97" i="8"/>
  <c r="F97" i="8"/>
  <c r="H98" i="8"/>
  <c r="G98" i="8"/>
  <c r="F98" i="8"/>
  <c r="B11" i="2" l="1" a="1"/>
  <c r="B11" i="2" s="1"/>
  <c r="B22" i="2" a="1"/>
  <c r="B22" i="2" s="1"/>
  <c r="S7" i="1"/>
  <c r="M7" i="1"/>
  <c r="G7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<sst xmlns="http://schemas.openxmlformats.org/spreadsheetml/2006/main" count="3481" uniqueCount="802">
  <si>
    <t>🏥  MEDICAL STORE MANAGEMENT SYSTEM  |  PHARMA DASHBOARD</t>
  </si>
  <si>
    <t>Real-time Inventory · Sales · Expiry · Credit Tracking</t>
  </si>
  <si>
    <t>KEY PERFORMANCE INDICATORS</t>
  </si>
  <si>
    <t>💰  TODAY'S SALES (PKR)</t>
  </si>
  <si>
    <t>📅  MONTHLY SALES (PKR)</t>
  </si>
  <si>
    <t>📈  GROSS PROFIT (PKR)</t>
  </si>
  <si>
    <t>📦  INVENTORY VALUE (PKR)</t>
  </si>
  <si>
    <t>💳  TOTAL CREDIT DUE (PKR)</t>
  </si>
  <si>
    <t>⚠  EXPIRING SOON (Items)</t>
  </si>
  <si>
    <t>🔴  LOW STOCK (Items)</t>
  </si>
  <si>
    <t>FINANCIAL SUMMARY</t>
  </si>
  <si>
    <t>Total Purchases (PKR)</t>
  </si>
  <si>
    <t>Total Revenue (PKR)</t>
  </si>
  <si>
    <t>Total Cost of Goods</t>
  </si>
  <si>
    <t>Gross Profit (PKR)</t>
  </si>
  <si>
    <t>Profit Margin %</t>
  </si>
  <si>
    <t>Cash Sales (PKR)</t>
  </si>
  <si>
    <t>Credit Sales (PKR)</t>
  </si>
  <si>
    <t>Credit Outstanding (PKR)</t>
  </si>
  <si>
    <t>Total Medicines</t>
  </si>
  <si>
    <t>Total Transactions</t>
  </si>
  <si>
    <t>Month</t>
  </si>
  <si>
    <t>Sum of Total_Revenue_PKR</t>
  </si>
  <si>
    <t>Dec 2025</t>
  </si>
  <si>
    <t>Feb 2026</t>
  </si>
  <si>
    <t>Jan 2026</t>
  </si>
  <si>
    <t>Mar 2026</t>
  </si>
  <si>
    <t>Grand Total</t>
  </si>
  <si>
    <t>Medicine_Name</t>
  </si>
  <si>
    <t>Sum of Quantity</t>
  </si>
  <si>
    <t>Ipratropium</t>
  </si>
  <si>
    <t>Omega-3</t>
  </si>
  <si>
    <t>Fluconazole 150mg</t>
  </si>
  <si>
    <t>Ciprofloxacin 500mg</t>
  </si>
  <si>
    <t>Azithromycin 250mg</t>
  </si>
  <si>
    <t>Pseudoephedrine</t>
  </si>
  <si>
    <t>Ketorolac 10mg</t>
  </si>
  <si>
    <t>Ranitidine 150mg</t>
  </si>
  <si>
    <t>Vitamin C 500mg</t>
  </si>
  <si>
    <t>Augmentin 625mg</t>
  </si>
  <si>
    <t>Payment_Type</t>
  </si>
  <si>
    <t>Cash</t>
  </si>
  <si>
    <t>Credit</t>
  </si>
  <si>
    <t>(blank)</t>
  </si>
  <si>
    <t>Priority</t>
  </si>
  <si>
    <t>Count of Medicine_Name</t>
  </si>
  <si>
    <t>CRITICAL</t>
  </si>
  <si>
    <t>HIGH</t>
  </si>
  <si>
    <t>MEDIUM</t>
  </si>
  <si>
    <t>OK</t>
  </si>
  <si>
    <t>🔍  MEDICINE SEARCH &amp; LOOKUP</t>
  </si>
  <si>
    <t>Search by Med_ID:</t>
  </si>
  <si>
    <t>MED002</t>
  </si>
  <si>
    <t xml:space="preserve">  ℹ️  Type medicine name in D4  OR  Med_ID (e.g. MED016) in J4  →  Results appear below automatically</t>
  </si>
  <si>
    <t>📋  MEDICINE DETAILS</t>
  </si>
  <si>
    <t>Med_ID</t>
  </si>
  <si>
    <t>Category</t>
  </si>
  <si>
    <t>Form</t>
  </si>
  <si>
    <t>Sale_Price_PKR</t>
  </si>
  <si>
    <t>Cost_Price_PKR</t>
  </si>
  <si>
    <t>Reorder_Level</t>
  </si>
  <si>
    <t>Expiry_Date</t>
  </si>
  <si>
    <t>Manufacturer</t>
  </si>
  <si>
    <t>Pack_Size</t>
  </si>
  <si>
    <t>Unit</t>
  </si>
  <si>
    <t>Status</t>
  </si>
  <si>
    <t>📦  STOCK &amp; SALES SUMMARY</t>
  </si>
  <si>
    <t>Total_Purchased</t>
  </si>
  <si>
    <t>Total_Sold</t>
  </si>
  <si>
    <t>Current_Stock</t>
  </si>
  <si>
    <t>Stock_Value_PKR</t>
  </si>
  <si>
    <t>Days_to_Expiry</t>
  </si>
  <si>
    <t>Expiry_Status</t>
  </si>
  <si>
    <t>Reorder_Needed</t>
  </si>
  <si>
    <t>Suggested_Order_Qty</t>
  </si>
  <si>
    <t>Movement_Status</t>
  </si>
  <si>
    <t>⚠️  EXPIRY &amp; ALERT STATUS</t>
  </si>
  <si>
    <t>Days_Remaining</t>
  </si>
  <si>
    <t>Financial_Risk_PKR</t>
  </si>
  <si>
    <t>🧾  RECENT SALES HISTORY  ( PURCHASE )</t>
  </si>
  <si>
    <t>Purchase_ID</t>
  </si>
  <si>
    <t>Date</t>
  </si>
  <si>
    <t>Supplier</t>
  </si>
  <si>
    <t>Quantity</t>
  </si>
  <si>
    <t>Total_Cost_PKR</t>
  </si>
  <si>
    <t>Invoice_No</t>
  </si>
  <si>
    <t>Batch_No</t>
  </si>
  <si>
    <t>Payment_Status</t>
  </si>
  <si>
    <t>🧾  RECENT SALES HISTORY  ( SALES )</t>
  </si>
  <si>
    <t>Sale_ID</t>
  </si>
  <si>
    <t>Customer_Name</t>
  </si>
  <si>
    <t>Total_Revenue_PKR</t>
  </si>
  <si>
    <t>Gross_Profit_PKR</t>
  </si>
  <si>
    <t>Amount_Paid</t>
  </si>
  <si>
    <t>Balance_Due</t>
  </si>
  <si>
    <t>MED001</t>
  </si>
  <si>
    <t>Amoxicillin 500mg</t>
  </si>
  <si>
    <t>Antibiotics</t>
  </si>
  <si>
    <t>Capsule</t>
  </si>
  <si>
    <t>Abbott</t>
  </si>
  <si>
    <t>Tablets/Caps/ml</t>
  </si>
  <si>
    <t>Active</t>
  </si>
  <si>
    <t>Tablet</t>
  </si>
  <si>
    <t>Novartis</t>
  </si>
  <si>
    <t>MED003</t>
  </si>
  <si>
    <t>Roche</t>
  </si>
  <si>
    <t>MED004</t>
  </si>
  <si>
    <t>MED005</t>
  </si>
  <si>
    <t>Metronidazole 400mg</t>
  </si>
  <si>
    <t>MED006</t>
  </si>
  <si>
    <t>Cephalexin 500mg</t>
  </si>
  <si>
    <t>ICI Pakistan</t>
  </si>
  <si>
    <t>MED007</t>
  </si>
  <si>
    <t>MED008</t>
  </si>
  <si>
    <t>Paracetamol 500mg</t>
  </si>
  <si>
    <t>Analgesics</t>
  </si>
  <si>
    <t>Bayer</t>
  </si>
  <si>
    <t>MED009</t>
  </si>
  <si>
    <t>Ibuprofen 400mg</t>
  </si>
  <si>
    <t>GSK</t>
  </si>
  <si>
    <t>MED010</t>
  </si>
  <si>
    <t>Diclofenac 50mg</t>
  </si>
  <si>
    <t>Pfizer</t>
  </si>
  <si>
    <t>MED011</t>
  </si>
  <si>
    <t>Aspirin 75mg</t>
  </si>
  <si>
    <t>Sanofi</t>
  </si>
  <si>
    <t>MED012</t>
  </si>
  <si>
    <t>Tramadol 50mg</t>
  </si>
  <si>
    <t>Ferozsons</t>
  </si>
  <si>
    <t>MED013</t>
  </si>
  <si>
    <t>Mefenamic Acid 500mg</t>
  </si>
  <si>
    <t>MED014</t>
  </si>
  <si>
    <t>Omeprazole 20mg</t>
  </si>
  <si>
    <t>Antacids</t>
  </si>
  <si>
    <t>MED015</t>
  </si>
  <si>
    <t>Pantoprazole 40mg</t>
  </si>
  <si>
    <t>MED016</t>
  </si>
  <si>
    <t>MED017</t>
  </si>
  <si>
    <t>Domperidone 10mg</t>
  </si>
  <si>
    <t>MED018</t>
  </si>
  <si>
    <t>Lansoprazole 30mg</t>
  </si>
  <si>
    <t>Hilton Pharma</t>
  </si>
  <si>
    <t>MED019</t>
  </si>
  <si>
    <t>Esomeprazole 40mg</t>
  </si>
  <si>
    <t>MED020</t>
  </si>
  <si>
    <t>Vitamins</t>
  </si>
  <si>
    <t>MED021</t>
  </si>
  <si>
    <t>Vitamin D3 1000IU</t>
  </si>
  <si>
    <t>MED022</t>
  </si>
  <si>
    <t>Vitamin B Complex</t>
  </si>
  <si>
    <t>MED023</t>
  </si>
  <si>
    <t>Folic Acid 5mg</t>
  </si>
  <si>
    <t>MED024</t>
  </si>
  <si>
    <t>Iron+Folic Acid</t>
  </si>
  <si>
    <t>MED025</t>
  </si>
  <si>
    <t>Multivitamin</t>
  </si>
  <si>
    <t>MED026</t>
  </si>
  <si>
    <t>Calcium+Vit D</t>
  </si>
  <si>
    <t>MED027</t>
  </si>
  <si>
    <t>Metformin 500mg</t>
  </si>
  <si>
    <t>Antidiabetics</t>
  </si>
  <si>
    <t>MED028</t>
  </si>
  <si>
    <t>Metformin 1000mg</t>
  </si>
  <si>
    <t>MED029</t>
  </si>
  <si>
    <t>Glibenclamide 5mg</t>
  </si>
  <si>
    <t>MED030</t>
  </si>
  <si>
    <t>Sitagliptin 100mg</t>
  </si>
  <si>
    <t>MED031</t>
  </si>
  <si>
    <t>Glimepiride 2mg</t>
  </si>
  <si>
    <t>MED032</t>
  </si>
  <si>
    <t>Insulin Glargine</t>
  </si>
  <si>
    <t>Injection</t>
  </si>
  <si>
    <t>MED033</t>
  </si>
  <si>
    <t>Amlodipine 5mg</t>
  </si>
  <si>
    <t>Antihypertensives</t>
  </si>
  <si>
    <t>MED034</t>
  </si>
  <si>
    <t>Atenolol 50mg</t>
  </si>
  <si>
    <t>MED035</t>
  </si>
  <si>
    <t>Lisinopril 10mg</t>
  </si>
  <si>
    <t>MED036</t>
  </si>
  <si>
    <t>Losartan 50mg</t>
  </si>
  <si>
    <t>MED037</t>
  </si>
  <si>
    <t>Valsartan 80mg</t>
  </si>
  <si>
    <t>MED038</t>
  </si>
  <si>
    <t>Ramipril 5mg</t>
  </si>
  <si>
    <t>MED039</t>
  </si>
  <si>
    <t>Cetirizine 10mg</t>
  </si>
  <si>
    <t>Antihistamines</t>
  </si>
  <si>
    <t>MED040</t>
  </si>
  <si>
    <t>Loratadine 10mg</t>
  </si>
  <si>
    <t>MED041</t>
  </si>
  <si>
    <t>Fexofenadine 120mg</t>
  </si>
  <si>
    <t>MED042</t>
  </si>
  <si>
    <t>Chlorpheniramine 4mg</t>
  </si>
  <si>
    <t>MED043</t>
  </si>
  <si>
    <t>Desloratadine 5mg</t>
  </si>
  <si>
    <t>MED044</t>
  </si>
  <si>
    <t>Dettol 500ml</t>
  </si>
  <si>
    <t>Antiseptics</t>
  </si>
  <si>
    <t>Liquid</t>
  </si>
  <si>
    <t>MED045</t>
  </si>
  <si>
    <t>Savlon 500ml</t>
  </si>
  <si>
    <t>MED046</t>
  </si>
  <si>
    <t>Povidone Iodine</t>
  </si>
  <si>
    <t>MED047</t>
  </si>
  <si>
    <t>Hydrogen Peroxide</t>
  </si>
  <si>
    <t>MED048</t>
  </si>
  <si>
    <t>Betadine Ointment</t>
  </si>
  <si>
    <t>Ointment</t>
  </si>
  <si>
    <t>MED049</t>
  </si>
  <si>
    <t>Cough Syrup DM</t>
  </si>
  <si>
    <t>Cough &amp; Cold</t>
  </si>
  <si>
    <t>Syrup</t>
  </si>
  <si>
    <t>MED050</t>
  </si>
  <si>
    <t>Ambroxol Syrup</t>
  </si>
  <si>
    <t>MED051</t>
  </si>
  <si>
    <t>Bromhexine 8mg</t>
  </si>
  <si>
    <t>MED052</t>
  </si>
  <si>
    <t>MED053</t>
  </si>
  <si>
    <t>Phenylephrine</t>
  </si>
  <si>
    <t>MED054</t>
  </si>
  <si>
    <t>Guaifenesin Syrup</t>
  </si>
  <si>
    <t>MED055</t>
  </si>
  <si>
    <t>Calamine Lotion</t>
  </si>
  <si>
    <t>Skin Care</t>
  </si>
  <si>
    <t>Lotion</t>
  </si>
  <si>
    <t>MED056</t>
  </si>
  <si>
    <t>Clotrimazole Cream</t>
  </si>
  <si>
    <t>Cream</t>
  </si>
  <si>
    <t>MED057</t>
  </si>
  <si>
    <t>Hydrocortisone Cream</t>
  </si>
  <si>
    <t>MED058</t>
  </si>
  <si>
    <t>Betamethasone Cream</t>
  </si>
  <si>
    <t>MED059</t>
  </si>
  <si>
    <t>Fusidic Acid Cream</t>
  </si>
  <si>
    <t>MED060</t>
  </si>
  <si>
    <t>Benzoyl Peroxide</t>
  </si>
  <si>
    <t>Gel</t>
  </si>
  <si>
    <t>MED061</t>
  </si>
  <si>
    <t>Salicylic Acid</t>
  </si>
  <si>
    <t>MED062</t>
  </si>
  <si>
    <t>MED063</t>
  </si>
  <si>
    <t>Clarithromycin 250mg</t>
  </si>
  <si>
    <t>MED064</t>
  </si>
  <si>
    <t>Levofloxacin 500mg</t>
  </si>
  <si>
    <t>MED065</t>
  </si>
  <si>
    <t>Cefixime 400mg</t>
  </si>
  <si>
    <t>MED066</t>
  </si>
  <si>
    <t>Nitrofurantoin 100mg</t>
  </si>
  <si>
    <t>MED067</t>
  </si>
  <si>
    <t>Naproxen 500mg</t>
  </si>
  <si>
    <t>MED068</t>
  </si>
  <si>
    <t>MED069</t>
  </si>
  <si>
    <t>Piroxicam 20mg</t>
  </si>
  <si>
    <t>MED070</t>
  </si>
  <si>
    <t>Pantoprazole 20mg</t>
  </si>
  <si>
    <t>MED071</t>
  </si>
  <si>
    <t>Sucralfate 1g</t>
  </si>
  <si>
    <t>MED072</t>
  </si>
  <si>
    <t>Aluminum Hydroxide</t>
  </si>
  <si>
    <t>MED073</t>
  </si>
  <si>
    <t>Zinc Supplement</t>
  </si>
  <si>
    <t>MED074</t>
  </si>
  <si>
    <t>MED075</t>
  </si>
  <si>
    <t>Vitamin E 400IU</t>
  </si>
  <si>
    <t>MED076</t>
  </si>
  <si>
    <t>Pioglitazone 15mg</t>
  </si>
  <si>
    <t>MED077</t>
  </si>
  <si>
    <t>Repaglinide 1mg</t>
  </si>
  <si>
    <t>MED078</t>
  </si>
  <si>
    <t>Empagliflozin 10mg</t>
  </si>
  <si>
    <t>MED079</t>
  </si>
  <si>
    <t>Telmisartan 40mg</t>
  </si>
  <si>
    <t>MED080</t>
  </si>
  <si>
    <t>Nebivolol 5mg</t>
  </si>
  <si>
    <t>MED081</t>
  </si>
  <si>
    <t>Hydrochlorothiazide</t>
  </si>
  <si>
    <t>MED082</t>
  </si>
  <si>
    <t>Bilastine 20mg</t>
  </si>
  <si>
    <t>MED083</t>
  </si>
  <si>
    <t>Montelukast 10mg</t>
  </si>
  <si>
    <t>MED084</t>
  </si>
  <si>
    <t>Ebastine 10mg</t>
  </si>
  <si>
    <t>MED085</t>
  </si>
  <si>
    <t>Alcohol 70%</t>
  </si>
  <si>
    <t>MED086</t>
  </si>
  <si>
    <t>Chlorhexidine</t>
  </si>
  <si>
    <t>MED087</t>
  </si>
  <si>
    <t>Levosalbutamol</t>
  </si>
  <si>
    <t>MED088</t>
  </si>
  <si>
    <t>Codeine Linctus</t>
  </si>
  <si>
    <t>MED089</t>
  </si>
  <si>
    <t>Inhaler</t>
  </si>
  <si>
    <t>MED090</t>
  </si>
  <si>
    <t>Mupirocin Ointment</t>
  </si>
  <si>
    <t>MED091</t>
  </si>
  <si>
    <t>Tretinoin Cream</t>
  </si>
  <si>
    <t>MED092</t>
  </si>
  <si>
    <t>Nystatin Ointment</t>
  </si>
  <si>
    <t>MED093</t>
  </si>
  <si>
    <t>Mometasone Cream</t>
  </si>
  <si>
    <t>MED094</t>
  </si>
  <si>
    <t>Terbinafine Cream</t>
  </si>
  <si>
    <t>MED095</t>
  </si>
  <si>
    <t>Clobetasol Cream</t>
  </si>
  <si>
    <t>MED096</t>
  </si>
  <si>
    <t>Tacrolimus Ointment</t>
  </si>
  <si>
    <t>PUR0001</t>
  </si>
  <si>
    <t>Sind Medical Corp</t>
  </si>
  <si>
    <t>INV42098</t>
  </si>
  <si>
    <t>B328</t>
  </si>
  <si>
    <t>Paid</t>
  </si>
  <si>
    <t>PUR0002</t>
  </si>
  <si>
    <t>National Pharma</t>
  </si>
  <si>
    <t>INV21395</t>
  </si>
  <si>
    <t>B704</t>
  </si>
  <si>
    <t>Pending</t>
  </si>
  <si>
    <t>PUR0003</t>
  </si>
  <si>
    <t>Lahore Pharma Dist</t>
  </si>
  <si>
    <t>INV40495</t>
  </si>
  <si>
    <t>B617</t>
  </si>
  <si>
    <t>PUR0004</t>
  </si>
  <si>
    <t>INV64987</t>
  </si>
  <si>
    <t>B325</t>
  </si>
  <si>
    <t>PUR0005</t>
  </si>
  <si>
    <t>Karachi Drug House</t>
  </si>
  <si>
    <t>INV65392</t>
  </si>
  <si>
    <t>B448</t>
  </si>
  <si>
    <t>PUR0006</t>
  </si>
  <si>
    <t>Ali Medical Supplies</t>
  </si>
  <si>
    <t>INV22156</t>
  </si>
  <si>
    <t>B489</t>
  </si>
  <si>
    <t>PUR0007</t>
  </si>
  <si>
    <t>City Medical</t>
  </si>
  <si>
    <t>INV44671</t>
  </si>
  <si>
    <t>B926</t>
  </si>
  <si>
    <t>PUR0008</t>
  </si>
  <si>
    <t>INV59615</t>
  </si>
  <si>
    <t>B180</t>
  </si>
  <si>
    <t>PUR0009</t>
  </si>
  <si>
    <t>INV35203</t>
  </si>
  <si>
    <t>B821</t>
  </si>
  <si>
    <t>PUR0010</t>
  </si>
  <si>
    <t>INV20458</t>
  </si>
  <si>
    <t>B975</t>
  </si>
  <si>
    <t>PUR0011</t>
  </si>
  <si>
    <t>Dawa Center</t>
  </si>
  <si>
    <t>INV93320</t>
  </si>
  <si>
    <t>B954</t>
  </si>
  <si>
    <t>PUR0012</t>
  </si>
  <si>
    <t>INV97841</t>
  </si>
  <si>
    <t>B373</t>
  </si>
  <si>
    <t>PUR0013</t>
  </si>
  <si>
    <t>INV42087</t>
  </si>
  <si>
    <t>B267</t>
  </si>
  <si>
    <t>PUR0014</t>
  </si>
  <si>
    <t>INV38785</t>
  </si>
  <si>
    <t>B801</t>
  </si>
  <si>
    <t>PUR0015</t>
  </si>
  <si>
    <t>INV14207</t>
  </si>
  <si>
    <t>B924</t>
  </si>
  <si>
    <t>PUR0016</t>
  </si>
  <si>
    <t>INV84341</t>
  </si>
  <si>
    <t>B997</t>
  </si>
  <si>
    <t>PUR0017</t>
  </si>
  <si>
    <t>PharmaLink Pvt Ltd</t>
  </si>
  <si>
    <t>INV94259</t>
  </si>
  <si>
    <t>B569</t>
  </si>
  <si>
    <t>PUR0018</t>
  </si>
  <si>
    <t>INV80644</t>
  </si>
  <si>
    <t>B369</t>
  </si>
  <si>
    <t>PUR0019</t>
  </si>
  <si>
    <t>INV28131</t>
  </si>
  <si>
    <t>B621</t>
  </si>
  <si>
    <t>PUR0020</t>
  </si>
  <si>
    <t>INV30033</t>
  </si>
  <si>
    <t>B742</t>
  </si>
  <si>
    <t>PUR0021</t>
  </si>
  <si>
    <t>INV60432</t>
  </si>
  <si>
    <t>B490</t>
  </si>
  <si>
    <t>PUR0022</t>
  </si>
  <si>
    <t>MedLife Pharma</t>
  </si>
  <si>
    <t>INV99166</t>
  </si>
  <si>
    <t>B838</t>
  </si>
  <si>
    <t>PUR0023</t>
  </si>
  <si>
    <t>HealthPlus Wholesale</t>
  </si>
  <si>
    <t>INV24621</t>
  </si>
  <si>
    <t>B400</t>
  </si>
  <si>
    <t>PUR0024</t>
  </si>
  <si>
    <t>INV75612</t>
  </si>
  <si>
    <t>B880</t>
  </si>
  <si>
    <t>PUR0025</t>
  </si>
  <si>
    <t>INV93748</t>
  </si>
  <si>
    <t>B619</t>
  </si>
  <si>
    <t>PUR0026</t>
  </si>
  <si>
    <t>INV79514</t>
  </si>
  <si>
    <t>B100</t>
  </si>
  <si>
    <t>PUR0027</t>
  </si>
  <si>
    <t>INV50306</t>
  </si>
  <si>
    <t>B345</t>
  </si>
  <si>
    <t>PUR0028</t>
  </si>
  <si>
    <t>INV21226</t>
  </si>
  <si>
    <t>B849</t>
  </si>
  <si>
    <t>PUR0029</t>
  </si>
  <si>
    <t>INV26828</t>
  </si>
  <si>
    <t>B775</t>
  </si>
  <si>
    <t>PUR0030</t>
  </si>
  <si>
    <t>INV89507</t>
  </si>
  <si>
    <t>B533</t>
  </si>
  <si>
    <t>PUR0031</t>
  </si>
  <si>
    <t>INV50857</t>
  </si>
  <si>
    <t>B508</t>
  </si>
  <si>
    <t>PUR0032</t>
  </si>
  <si>
    <t>INV42493</t>
  </si>
  <si>
    <t>B330</t>
  </si>
  <si>
    <t>PUR0033</t>
  </si>
  <si>
    <t>INV40161</t>
  </si>
  <si>
    <t>B702</t>
  </si>
  <si>
    <t>PUR0034</t>
  </si>
  <si>
    <t>INV40007</t>
  </si>
  <si>
    <t>B169</t>
  </si>
  <si>
    <t>PUR0035</t>
  </si>
  <si>
    <t>INV46500</t>
  </si>
  <si>
    <t>B785</t>
  </si>
  <si>
    <t>PUR0036</t>
  </si>
  <si>
    <t>INV85525</t>
  </si>
  <si>
    <t>B584</t>
  </si>
  <si>
    <t>PUR0037</t>
  </si>
  <si>
    <t>INV22363</t>
  </si>
  <si>
    <t>B199</t>
  </si>
  <si>
    <t>PUR0038</t>
  </si>
  <si>
    <t>INV17100</t>
  </si>
  <si>
    <t>B789</t>
  </si>
  <si>
    <t>PUR0039</t>
  </si>
  <si>
    <t>INV42591</t>
  </si>
  <si>
    <t>B296</t>
  </si>
  <si>
    <t>PUR0040</t>
  </si>
  <si>
    <t>INV34050</t>
  </si>
  <si>
    <t>B385</t>
  </si>
  <si>
    <t>PUR0041</t>
  </si>
  <si>
    <t>INV82132</t>
  </si>
  <si>
    <t>B200</t>
  </si>
  <si>
    <t>PUR0042</t>
  </si>
  <si>
    <t>INV40982</t>
  </si>
  <si>
    <t>B270</t>
  </si>
  <si>
    <t>PUR0043</t>
  </si>
  <si>
    <t>INV17685</t>
  </si>
  <si>
    <t>B268</t>
  </si>
  <si>
    <t>PUR0044</t>
  </si>
  <si>
    <t>INV47388</t>
  </si>
  <si>
    <t>PUR0045</t>
  </si>
  <si>
    <t>INV17665</t>
  </si>
  <si>
    <t>B693</t>
  </si>
  <si>
    <t>PUR0046</t>
  </si>
  <si>
    <t>INV86569</t>
  </si>
  <si>
    <t>B588</t>
  </si>
  <si>
    <t>PUR0047</t>
  </si>
  <si>
    <t>INV18981</t>
  </si>
  <si>
    <t>B709</t>
  </si>
  <si>
    <t>PUR0048</t>
  </si>
  <si>
    <t>INV25713</t>
  </si>
  <si>
    <t>B683</t>
  </si>
  <si>
    <t>PUR0049</t>
  </si>
  <si>
    <t>INV20745</t>
  </si>
  <si>
    <t>B529</t>
  </si>
  <si>
    <t>PUR0050</t>
  </si>
  <si>
    <t>INV41285</t>
  </si>
  <si>
    <t>B371</t>
  </si>
  <si>
    <t>PUR0051</t>
  </si>
  <si>
    <t>INV69929</t>
  </si>
  <si>
    <t>B423</t>
  </si>
  <si>
    <t>PUR0052</t>
  </si>
  <si>
    <t>INV23104</t>
  </si>
  <si>
    <t>B175</t>
  </si>
  <si>
    <t>PUR0053</t>
  </si>
  <si>
    <t>INV19016</t>
  </si>
  <si>
    <t>B350</t>
  </si>
  <si>
    <t>PUR0054</t>
  </si>
  <si>
    <t>INV49651</t>
  </si>
  <si>
    <t>B726</t>
  </si>
  <si>
    <t>PUR0055</t>
  </si>
  <si>
    <t>INV96951</t>
  </si>
  <si>
    <t>B206</t>
  </si>
  <si>
    <t>PUR0056</t>
  </si>
  <si>
    <t>INV30374</t>
  </si>
  <si>
    <t>B378</t>
  </si>
  <si>
    <t>PUR0057</t>
  </si>
  <si>
    <t>INV93130</t>
  </si>
  <si>
    <t>B973</t>
  </si>
  <si>
    <t>PUR0058</t>
  </si>
  <si>
    <t>INV22097</t>
  </si>
  <si>
    <t>B749</t>
  </si>
  <si>
    <t>PUR0059</t>
  </si>
  <si>
    <t>INV27146</t>
  </si>
  <si>
    <t>B752</t>
  </si>
  <si>
    <t>PUR0060</t>
  </si>
  <si>
    <t>INV66057</t>
  </si>
  <si>
    <t>B674</t>
  </si>
  <si>
    <t>PUR0061</t>
  </si>
  <si>
    <t>INV81511</t>
  </si>
  <si>
    <t>B136</t>
  </si>
  <si>
    <t>PUR0062</t>
  </si>
  <si>
    <t>INV26704</t>
  </si>
  <si>
    <t>B142</t>
  </si>
  <si>
    <t>PUR0063</t>
  </si>
  <si>
    <t>INV37535</t>
  </si>
  <si>
    <t>B798</t>
  </si>
  <si>
    <t>PUR0064</t>
  </si>
  <si>
    <t>INV63264</t>
  </si>
  <si>
    <t>B735</t>
  </si>
  <si>
    <t>PUR0065</t>
  </si>
  <si>
    <t>INV64040</t>
  </si>
  <si>
    <t>B125</t>
  </si>
  <si>
    <t>PUR0066</t>
  </si>
  <si>
    <t>INV44970</t>
  </si>
  <si>
    <t>B263</t>
  </si>
  <si>
    <t>PUR0067</t>
  </si>
  <si>
    <t>INV39154</t>
  </si>
  <si>
    <t>B304</t>
  </si>
  <si>
    <t>PUR0068</t>
  </si>
  <si>
    <t>INV13101</t>
  </si>
  <si>
    <t>PUR0069</t>
  </si>
  <si>
    <t>INV46585</t>
  </si>
  <si>
    <t>B459</t>
  </si>
  <si>
    <t>PUR0070</t>
  </si>
  <si>
    <t>INV13617</t>
  </si>
  <si>
    <t>B218</t>
  </si>
  <si>
    <t>PUR0071</t>
  </si>
  <si>
    <t>INV24208</t>
  </si>
  <si>
    <t>B710</t>
  </si>
  <si>
    <t>PUR0072</t>
  </si>
  <si>
    <t>INV89457</t>
  </si>
  <si>
    <t>B623</t>
  </si>
  <si>
    <t>PUR0073</t>
  </si>
  <si>
    <t>INV15817</t>
  </si>
  <si>
    <t>B825</t>
  </si>
  <si>
    <t>PUR0074</t>
  </si>
  <si>
    <t>INV57739</t>
  </si>
  <si>
    <t>B541</t>
  </si>
  <si>
    <t>PUR0075</t>
  </si>
  <si>
    <t>B968</t>
  </si>
  <si>
    <t>PUR0076</t>
  </si>
  <si>
    <t>INV97410</t>
  </si>
  <si>
    <t>B518</t>
  </si>
  <si>
    <t>PUR0077</t>
  </si>
  <si>
    <t>INV26683</t>
  </si>
  <si>
    <t>PUR0078</t>
  </si>
  <si>
    <t>INV90676</t>
  </si>
  <si>
    <t>B682</t>
  </si>
  <si>
    <t>PUR0079</t>
  </si>
  <si>
    <t>INV47606</t>
  </si>
  <si>
    <t>B315</t>
  </si>
  <si>
    <t>PUR0080</t>
  </si>
  <si>
    <t>INV70946</t>
  </si>
  <si>
    <t>B552</t>
  </si>
  <si>
    <t>PUR0081</t>
  </si>
  <si>
    <t>INV32241</t>
  </si>
  <si>
    <t>B774</t>
  </si>
  <si>
    <t>PUR0082</t>
  </si>
  <si>
    <t>INV53933</t>
  </si>
  <si>
    <t>B195</t>
  </si>
  <si>
    <t>PUR0083</t>
  </si>
  <si>
    <t>INV29313</t>
  </si>
  <si>
    <t>PUR0084</t>
  </si>
  <si>
    <t>INV69692</t>
  </si>
  <si>
    <t>B524</t>
  </si>
  <si>
    <t>PUR0085</t>
  </si>
  <si>
    <t>INV62383</t>
  </si>
  <si>
    <t>B349</t>
  </si>
  <si>
    <t>PUR0086</t>
  </si>
  <si>
    <t>INV65724</t>
  </si>
  <si>
    <t>B324</t>
  </si>
  <si>
    <t>PUR0087</t>
  </si>
  <si>
    <t>INV83060</t>
  </si>
  <si>
    <t>B355</t>
  </si>
  <si>
    <t>PUR0088</t>
  </si>
  <si>
    <t>INV83259</t>
  </si>
  <si>
    <t>PUR0089</t>
  </si>
  <si>
    <t>INV65933</t>
  </si>
  <si>
    <t>B950</t>
  </si>
  <si>
    <t>PUR0090</t>
  </si>
  <si>
    <t>INV43972</t>
  </si>
  <si>
    <t>B869</t>
  </si>
  <si>
    <t>PUR0091</t>
  </si>
  <si>
    <t>INV92149</t>
  </si>
  <si>
    <t>B344</t>
  </si>
  <si>
    <t>PUR0092</t>
  </si>
  <si>
    <t>INV45614</t>
  </si>
  <si>
    <t>B443</t>
  </si>
  <si>
    <t>PUR0093</t>
  </si>
  <si>
    <t>INV40311</t>
  </si>
  <si>
    <t>B492</t>
  </si>
  <si>
    <t>PUR0094</t>
  </si>
  <si>
    <t>INV63424</t>
  </si>
  <si>
    <t>B438</t>
  </si>
  <si>
    <t>PUR0095</t>
  </si>
  <si>
    <t>INV61049</t>
  </si>
  <si>
    <t>B888</t>
  </si>
  <si>
    <t>PUR0096</t>
  </si>
  <si>
    <t>INV10772</t>
  </si>
  <si>
    <t>B460</t>
  </si>
  <si>
    <t>PUR0101</t>
  </si>
  <si>
    <t>INV88569</t>
  </si>
  <si>
    <t>B283</t>
  </si>
  <si>
    <t>PUR0102</t>
  </si>
  <si>
    <t>INV21348</t>
  </si>
  <si>
    <t>B357</t>
  </si>
  <si>
    <t>PUR0103</t>
  </si>
  <si>
    <t>INV21775</t>
  </si>
  <si>
    <t>B738</t>
  </si>
  <si>
    <t>PUR0104</t>
  </si>
  <si>
    <t>INV90375</t>
  </si>
  <si>
    <t>PUR0105</t>
  </si>
  <si>
    <t>INV60870</t>
  </si>
  <si>
    <t>B982</t>
  </si>
  <si>
    <t>PUR0106</t>
  </si>
  <si>
    <t>INV96581</t>
  </si>
  <si>
    <t>PUR0107</t>
  </si>
  <si>
    <t>INV79299</t>
  </si>
  <si>
    <t>B793</t>
  </si>
  <si>
    <t>PUR0108</t>
  </si>
  <si>
    <t>INV62772</t>
  </si>
  <si>
    <t>B143</t>
  </si>
  <si>
    <t>PUR0109</t>
  </si>
  <si>
    <t>INV65732</t>
  </si>
  <si>
    <t>B308</t>
  </si>
  <si>
    <t>PUR0110</t>
  </si>
  <si>
    <t>INV70566</t>
  </si>
  <si>
    <t>B631</t>
  </si>
  <si>
    <t>PUR0111</t>
  </si>
  <si>
    <t>INV16726</t>
  </si>
  <si>
    <t>B466</t>
  </si>
  <si>
    <t>PUR0112</t>
  </si>
  <si>
    <t>INV67896</t>
  </si>
  <si>
    <t>PUR0113</t>
  </si>
  <si>
    <t>INV14857</t>
  </si>
  <si>
    <t>B212</t>
  </si>
  <si>
    <t>PUR0114</t>
  </si>
  <si>
    <t>INV99635</t>
  </si>
  <si>
    <t>B939</t>
  </si>
  <si>
    <t>PUR0115</t>
  </si>
  <si>
    <t>INV92839</t>
  </si>
  <si>
    <t>B188</t>
  </si>
  <si>
    <t>PUR0116</t>
  </si>
  <si>
    <t>INV10742</t>
  </si>
  <si>
    <t>PUR0117</t>
  </si>
  <si>
    <t>INV63127</t>
  </si>
  <si>
    <t>B305</t>
  </si>
  <si>
    <t>PUR0118</t>
  </si>
  <si>
    <t>INV68061</t>
  </si>
  <si>
    <t>B363</t>
  </si>
  <si>
    <t>PUR0119</t>
  </si>
  <si>
    <t>INV56374</t>
  </si>
  <si>
    <t>B811</t>
  </si>
  <si>
    <t>PUR0120</t>
  </si>
  <si>
    <t>INV88599</t>
  </si>
  <si>
    <t>B897</t>
  </si>
  <si>
    <t>PUR0121</t>
  </si>
  <si>
    <t>INV26301</t>
  </si>
  <si>
    <t>B198</t>
  </si>
  <si>
    <t>PUR0122</t>
  </si>
  <si>
    <t>INV32824</t>
  </si>
  <si>
    <t>B281</t>
  </si>
  <si>
    <t>PUR0123</t>
  </si>
  <si>
    <t>INV83526</t>
  </si>
  <si>
    <t>B426</t>
  </si>
  <si>
    <t>SAL0001</t>
  </si>
  <si>
    <t>Usman Ali</t>
  </si>
  <si>
    <t>SAL0002</t>
  </si>
  <si>
    <t>Tariq Mahmood</t>
  </si>
  <si>
    <t>SAL0003</t>
  </si>
  <si>
    <t>SAL0004</t>
  </si>
  <si>
    <t>Shahid Raza</t>
  </si>
  <si>
    <t>SAL0005</t>
  </si>
  <si>
    <t>Fatima Malik</t>
  </si>
  <si>
    <t>SAL0006</t>
  </si>
  <si>
    <t>SAL0007</t>
  </si>
  <si>
    <t>Alina Khan</t>
  </si>
  <si>
    <t>SAL0008</t>
  </si>
  <si>
    <t>Sara Rehman</t>
  </si>
  <si>
    <t>SAL0009</t>
  </si>
  <si>
    <t>Sana Butt</t>
  </si>
  <si>
    <t>SAL0010</t>
  </si>
  <si>
    <t>Lubna Farooq</t>
  </si>
  <si>
    <t>SAL0011</t>
  </si>
  <si>
    <t>Asif Mirza</t>
  </si>
  <si>
    <t>SAL0012</t>
  </si>
  <si>
    <t>SAL0013</t>
  </si>
  <si>
    <t>Hina Shah</t>
  </si>
  <si>
    <t>SAL0014</t>
  </si>
  <si>
    <t>SAL0015</t>
  </si>
  <si>
    <t>Kamran Iqbal</t>
  </si>
  <si>
    <t>SAL0016</t>
  </si>
  <si>
    <t>SAL0017</t>
  </si>
  <si>
    <t>SAL0018</t>
  </si>
  <si>
    <t>SAL0019</t>
  </si>
  <si>
    <t>SAL0020</t>
  </si>
  <si>
    <t>SAL0021</t>
  </si>
  <si>
    <t>SAL0022</t>
  </si>
  <si>
    <t>Ayesha Siddiqui</t>
  </si>
  <si>
    <t>SAL0023</t>
  </si>
  <si>
    <t>Muhammad Hassan</t>
  </si>
  <si>
    <t>SAL0024</t>
  </si>
  <si>
    <t>SAL0025</t>
  </si>
  <si>
    <t>SAL0026</t>
  </si>
  <si>
    <t>SAL0027</t>
  </si>
  <si>
    <t>SAL0028</t>
  </si>
  <si>
    <t>SAL0029</t>
  </si>
  <si>
    <t>Rabia Nawaz</t>
  </si>
  <si>
    <t>SAL0030</t>
  </si>
  <si>
    <t>SAL0031</t>
  </si>
  <si>
    <t>SAL0032</t>
  </si>
  <si>
    <t>Imran Chaudhry</t>
  </si>
  <si>
    <t>SAL0033</t>
  </si>
  <si>
    <t>SAL0034</t>
  </si>
  <si>
    <t>SAL0035</t>
  </si>
  <si>
    <t>SAL0036</t>
  </si>
  <si>
    <t>SAL0037</t>
  </si>
  <si>
    <t>SAL0038</t>
  </si>
  <si>
    <t>Mehwish Qureshi</t>
  </si>
  <si>
    <t>SAL0039</t>
  </si>
  <si>
    <t>SAL0040</t>
  </si>
  <si>
    <t>Zubair Ahmed</t>
  </si>
  <si>
    <t>SAL0041</t>
  </si>
  <si>
    <t>Bilal Tariq</t>
  </si>
  <si>
    <t>SAL0042</t>
  </si>
  <si>
    <t>Ahmed Khan</t>
  </si>
  <si>
    <t>SAL0043</t>
  </si>
  <si>
    <t>SAL0044</t>
  </si>
  <si>
    <t>SAL0045</t>
  </si>
  <si>
    <t>SAL0046</t>
  </si>
  <si>
    <t>Nadia Hussain</t>
  </si>
  <si>
    <t>SAL0047</t>
  </si>
  <si>
    <t>SAL0048</t>
  </si>
  <si>
    <t>SAL0049</t>
  </si>
  <si>
    <t>SAL0050</t>
  </si>
  <si>
    <t>SAL0051</t>
  </si>
  <si>
    <t>SAL0052</t>
  </si>
  <si>
    <t>SAL0053</t>
  </si>
  <si>
    <t>SAL0054</t>
  </si>
  <si>
    <t>SAL0055</t>
  </si>
  <si>
    <t>SAL0056</t>
  </si>
  <si>
    <t>SAL0057</t>
  </si>
  <si>
    <t>SAL0058</t>
  </si>
  <si>
    <t>SAL0059</t>
  </si>
  <si>
    <t>SAL0060</t>
  </si>
  <si>
    <t>SAL0061</t>
  </si>
  <si>
    <t>SAL0062</t>
  </si>
  <si>
    <t>SAL0063</t>
  </si>
  <si>
    <t>SAL0064</t>
  </si>
  <si>
    <t>SAL0065</t>
  </si>
  <si>
    <t>SAL0066</t>
  </si>
  <si>
    <t>SAL0067</t>
  </si>
  <si>
    <t>SAL0068</t>
  </si>
  <si>
    <t>SAL0069</t>
  </si>
  <si>
    <t>SAL0070</t>
  </si>
  <si>
    <t>SAL0071</t>
  </si>
  <si>
    <t>SAL0072</t>
  </si>
  <si>
    <t>SAL0073</t>
  </si>
  <si>
    <t>SAL0074</t>
  </si>
  <si>
    <t>SAL0075</t>
  </si>
  <si>
    <t>SAL0076</t>
  </si>
  <si>
    <t>SAL0077</t>
  </si>
  <si>
    <t>SAL0078</t>
  </si>
  <si>
    <t>SAL0079</t>
  </si>
  <si>
    <t>SAL0080</t>
  </si>
  <si>
    <t>SAL0081</t>
  </si>
  <si>
    <t>SAL0082</t>
  </si>
  <si>
    <t>SAL0083</t>
  </si>
  <si>
    <t>SAL0084</t>
  </si>
  <si>
    <t>SAL0085</t>
  </si>
  <si>
    <t>SAL0086</t>
  </si>
  <si>
    <t>SAL0087</t>
  </si>
  <si>
    <t>SAL0088</t>
  </si>
  <si>
    <t>SAL0089</t>
  </si>
  <si>
    <t>SAL0090</t>
  </si>
  <si>
    <t>SAL0091</t>
  </si>
  <si>
    <t>SAL0092</t>
  </si>
  <si>
    <t>SAL0093</t>
  </si>
  <si>
    <t>SAL0094</t>
  </si>
  <si>
    <t>SAL0095</t>
  </si>
  <si>
    <t>SAL0096</t>
  </si>
  <si>
    <t>Doxycycline 100mg</t>
  </si>
  <si>
    <t>⚠  EXPIRY ALERT REPORT  ⚠</t>
  </si>
  <si>
    <t>📦  LOW STOCK ALERT REPORT  📦</t>
  </si>
  <si>
    <t>Shortage</t>
  </si>
  <si>
    <t>Suggested_Order</t>
  </si>
  <si>
    <t>💳  CREDIT CUSTOMER REPORT  💳</t>
  </si>
  <si>
    <t>Total_Amount_PKR</t>
  </si>
  <si>
    <t>Amount_Paid_PKR</t>
  </si>
  <si>
    <t>Balance_Due_PKR</t>
  </si>
  <si>
    <t>Days_Outstanding</t>
  </si>
  <si>
    <t>Aging_Category</t>
  </si>
  <si>
    <t>Collection_Status</t>
  </si>
  <si>
    <t>31-60 Days</t>
  </si>
  <si>
    <t>Overdue</t>
  </si>
  <si>
    <t>0-30 Days</t>
  </si>
  <si>
    <t>Current</t>
  </si>
  <si>
    <t>60+ Days</t>
  </si>
  <si>
    <t>📊  PROFIT ANALYSIS REPORT  📊</t>
  </si>
  <si>
    <t>Total_Qty_Sold</t>
  </si>
  <si>
    <t>Margin_%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</si>
</sst>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dd\-mmm\-yyyy"/>
    <numFmt numFmtId="166" formatCode="[$-F800]dddd\,\ mmmm\ dd\,\ yyyy"/>
  </numFmts>
  <fonts count="16">
    <font>
      <sz val="11"/>
      <color theme="1"/>
      <name val="Calibri"/>
      <family val="2"/>
      <charset val="1"/>
    </font>
    <font>
      <b/>
      <sz val="18"/>
      <color rgb="FFFFFFFF"/>
      <name val="Arial"/>
      <charset val="1"/>
    </font>
    <font>
      <sz val="10"/>
      <color rgb="FFDBEAFE"/>
      <name val="Arial"/>
      <charset val="1"/>
    </font>
    <font>
      <b/>
      <sz val="10"/>
      <color rgb="FF1A3C5E"/>
      <name val="Arial"/>
      <charset val="1"/>
    </font>
    <font>
      <sz val="9"/>
      <color rgb="FF0F172A"/>
      <name val="Arial"/>
      <charset val="1"/>
    </font>
    <font>
      <b/>
      <sz val="9"/>
      <color rgb="FF1A3C5E"/>
      <name val="Arial"/>
      <charset val="1"/>
    </font>
    <font>
      <sz val="11"/>
      <color rgb="FF0F172A"/>
      <name val="Arial"/>
      <charset val="1"/>
    </font>
    <font>
      <i/>
      <sz val="9"/>
      <color rgb="FF64748B"/>
      <name val="Arial"/>
      <charset val="1"/>
    </font>
    <font>
      <b/>
      <sz val="10"/>
      <color rgb="FFFFFFFF"/>
      <name val="Arial"/>
      <charset val="1"/>
    </font>
    <font>
      <b/>
      <sz val="9"/>
      <color rgb="FFEA580C"/>
      <name val="Arial"/>
      <charset val="1"/>
    </font>
    <font>
      <b/>
      <sz val="14"/>
      <color rgb="FFFFFFFF"/>
      <name val="Arial"/>
      <charset val="1"/>
    </font>
    <font>
      <b/>
      <sz val="20"/>
      <color rgb="FF1A3C5E"/>
      <name val="Arial"/>
      <charset val="1"/>
    </font>
    <font>
      <b/>
      <sz val="24"/>
      <color rgb="FF1A3C5E"/>
      <name val="Arial"/>
      <charset val="1"/>
    </font>
    <font>
      <b/>
      <sz val="16"/>
      <color rgb="FF2563EB"/>
      <name val="Arial"/>
      <charset val="1"/>
    </font>
    <font>
      <b/>
      <sz val="14"/>
      <color rgb="FF1A3C5E"/>
      <name val="Arial"/>
      <charset val="1"/>
    </font>
    <font>
      <b/>
      <sz val="24"/>
      <color rgb="FFFFFFFF"/>
      <name val="Arial"/>
      <charset val="1"/>
    </font>
  </fonts>
  <fills count="16">
    <fill>
      <patternFill patternType="none"/>
    </fill>
    <fill>
      <patternFill patternType="gray125"/>
    </fill>
    <fill>
      <patternFill patternType="solid">
        <fgColor rgb="FF1A3C5E"/>
        <bgColor rgb="FF333333"/>
      </patternFill>
    </fill>
    <fill>
      <patternFill patternType="solid">
        <fgColor rgb="FFF1F5F9"/>
        <bgColor rgb="FFEFF6FF"/>
      </patternFill>
    </fill>
    <fill>
      <patternFill patternType="solid">
        <fgColor rgb="FFDBEAFE"/>
        <bgColor rgb="FFEFF6FF"/>
      </patternFill>
    </fill>
    <fill>
      <patternFill patternType="solid">
        <fgColor rgb="FFFFFFFF"/>
        <bgColor rgb="FFF9F9F9"/>
      </patternFill>
    </fill>
    <fill>
      <patternFill patternType="solid">
        <fgColor rgb="FF2563EB"/>
        <bgColor rgb="FF3B82F6"/>
      </patternFill>
    </fill>
    <fill>
      <patternFill patternType="solid">
        <fgColor rgb="FFDC2626"/>
        <bgColor rgb="FFEA580C"/>
      </patternFill>
    </fill>
    <fill>
      <patternFill patternType="solid">
        <fgColor rgb="FFEA580C"/>
        <bgColor rgb="FFD97706"/>
      </patternFill>
    </fill>
    <fill>
      <patternFill patternType="solid">
        <fgColor rgb="FF16A34A"/>
        <bgColor rgb="FF008080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 tint="4.9989318521683403E-2"/>
        <bgColor indexed="64"/>
      </patternFill>
    </fill>
  </fills>
  <borders count="21">
    <border>
      <left/>
      <right/>
      <top/>
      <bottom/>
      <diagonal/>
    </border>
    <border>
      <left style="thin">
        <color rgb="FFCBD5E1"/>
      </left>
      <right/>
      <top style="thin">
        <color rgb="FFCBD5E1"/>
      </top>
      <bottom/>
      <diagonal/>
    </border>
    <border>
      <left style="thin">
        <color rgb="FFCBD5E1"/>
      </left>
      <right/>
      <top style="thin">
        <color rgb="FFCBD5E1"/>
      </top>
      <bottom style="thin">
        <color rgb="FFCBD5E1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CBD5E1"/>
      </right>
      <top style="thin">
        <color rgb="FFCBD5E1"/>
      </top>
      <bottom style="thin">
        <color rgb="FFCBD5E1"/>
      </bottom>
      <diagonal/>
    </border>
    <border>
      <left/>
      <right style="thin">
        <color rgb="FFCBD5E1"/>
      </right>
      <top/>
      <bottom style="thin">
        <color rgb="FFCBD5E1"/>
      </bottom>
      <diagonal/>
    </border>
    <border>
      <left style="thin">
        <color rgb="FFCBD5E1"/>
      </left>
      <right style="thin">
        <color rgb="FFCBD5E1"/>
      </right>
      <top/>
      <bottom style="thin">
        <color rgb="FFCBD5E1"/>
      </bottom>
      <diagonal/>
    </border>
    <border>
      <left style="thin">
        <color rgb="FFCBD5E1"/>
      </left>
      <right/>
      <top/>
      <bottom style="thin">
        <color rgb="FFCBD5E1"/>
      </bottom>
      <diagonal/>
    </border>
    <border>
      <left/>
      <right style="thin">
        <color rgb="FFCBD5E1"/>
      </right>
      <top style="thin">
        <color rgb="FFCBD5E1"/>
      </top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/>
      <diagonal/>
    </border>
    <border>
      <left/>
      <right/>
      <top/>
      <bottom style="thin">
        <color rgb="FFCBD5E1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9">
    <xf numFmtId="0" fontId="0" fillId="0" borderId="0" xfId="0"/>
    <xf numFmtId="0" fontId="0" fillId="0" borderId="0" xfId="0" applyAlignment="1"/>
    <xf numFmtId="0" fontId="4" fillId="5" borderId="3" xfId="0" applyFont="1" applyFill="1" applyBorder="1" applyAlignment="1">
      <alignment horizontal="center" vertical="center"/>
    </xf>
    <xf numFmtId="165" fontId="4" fillId="5" borderId="3" xfId="0" applyNumberFormat="1" applyFont="1" applyFill="1" applyBorder="1" applyAlignment="1">
      <alignment horizontal="center" vertical="center"/>
    </xf>
    <xf numFmtId="3" fontId="4" fillId="5" borderId="3" xfId="0" applyNumberFormat="1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165" fontId="4" fillId="3" borderId="3" xfId="0" applyNumberFormat="1" applyFont="1" applyFill="1" applyBorder="1" applyAlignment="1">
      <alignment horizontal="center" vertical="center"/>
    </xf>
    <xf numFmtId="3" fontId="4" fillId="3" borderId="3" xfId="0" applyNumberFormat="1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left" vertical="center"/>
    </xf>
    <xf numFmtId="0" fontId="4" fillId="5" borderId="3" xfId="0" applyFont="1" applyFill="1" applyBorder="1" applyAlignment="1">
      <alignment horizontal="left" vertical="center"/>
    </xf>
    <xf numFmtId="0" fontId="9" fillId="5" borderId="3" xfId="0" applyFont="1" applyFill="1" applyBorder="1" applyAlignment="1">
      <alignment horizontal="center" vertical="center"/>
    </xf>
    <xf numFmtId="0" fontId="9" fillId="3" borderId="3" xfId="0" applyFont="1" applyFill="1" applyBorder="1" applyAlignment="1">
      <alignment horizontal="center" vertical="center"/>
    </xf>
    <xf numFmtId="0" fontId="8" fillId="9" borderId="3" xfId="0" applyFont="1" applyFill="1" applyBorder="1" applyAlignment="1">
      <alignment horizontal="center" vertical="center"/>
    </xf>
    <xf numFmtId="164" fontId="4" fillId="3" borderId="3" xfId="0" applyNumberFormat="1" applyFont="1" applyFill="1" applyBorder="1" applyAlignment="1">
      <alignment horizontal="center" vertical="center"/>
    </xf>
    <xf numFmtId="164" fontId="4" fillId="5" borderId="3" xfId="0" applyNumberFormat="1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5" borderId="5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4" fillId="5" borderId="9" xfId="0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left" vertical="center"/>
    </xf>
    <xf numFmtId="0" fontId="4" fillId="5" borderId="10" xfId="0" applyFont="1" applyFill="1" applyBorder="1" applyAlignment="1">
      <alignment horizontal="center" vertical="center"/>
    </xf>
    <xf numFmtId="165" fontId="4" fillId="5" borderId="10" xfId="0" applyNumberFormat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3" fontId="4" fillId="5" borderId="10" xfId="0" applyNumberFormat="1" applyFont="1" applyFill="1" applyBorder="1" applyAlignment="1">
      <alignment horizontal="center" vertical="center"/>
    </xf>
    <xf numFmtId="3" fontId="4" fillId="3" borderId="2" xfId="0" applyNumberFormat="1" applyFont="1" applyFill="1" applyBorder="1" applyAlignment="1">
      <alignment horizontal="center" vertical="center"/>
    </xf>
    <xf numFmtId="3" fontId="4" fillId="5" borderId="2" xfId="0" applyNumberFormat="1" applyFont="1" applyFill="1" applyBorder="1" applyAlignment="1">
      <alignment horizontal="center" vertical="center"/>
    </xf>
    <xf numFmtId="0" fontId="9" fillId="5" borderId="10" xfId="0" applyFont="1" applyFill="1" applyBorder="1" applyAlignment="1">
      <alignment horizontal="center" vertical="center"/>
    </xf>
    <xf numFmtId="3" fontId="4" fillId="5" borderId="1" xfId="0" applyNumberFormat="1" applyFont="1" applyFill="1" applyBorder="1" applyAlignment="1">
      <alignment horizontal="center" vertical="center"/>
    </xf>
    <xf numFmtId="0" fontId="8" fillId="2" borderId="0" xfId="0" applyFont="1" applyFill="1" applyBorder="1" applyAlignment="1">
      <alignment horizontal="center" vertical="center"/>
    </xf>
    <xf numFmtId="0" fontId="0" fillId="0" borderId="0" xfId="0" applyBorder="1"/>
    <xf numFmtId="0" fontId="0" fillId="10" borderId="0" xfId="0" applyFill="1" applyBorder="1"/>
    <xf numFmtId="0" fontId="0" fillId="11" borderId="0" xfId="0" applyFill="1" applyBorder="1"/>
    <xf numFmtId="0" fontId="0" fillId="12" borderId="0" xfId="0" applyFill="1" applyBorder="1"/>
    <xf numFmtId="0" fontId="0" fillId="13" borderId="0" xfId="0" applyFill="1" applyBorder="1"/>
    <xf numFmtId="0" fontId="0" fillId="14" borderId="0" xfId="0" applyFill="1" applyBorder="1"/>
    <xf numFmtId="0" fontId="0" fillId="10" borderId="14" xfId="0" applyFill="1" applyBorder="1"/>
    <xf numFmtId="0" fontId="3" fillId="11" borderId="13" xfId="0" applyFont="1" applyFill="1" applyBorder="1" applyAlignment="1">
      <alignment horizontal="left" vertical="center"/>
    </xf>
    <xf numFmtId="0" fontId="0" fillId="0" borderId="14" xfId="0" applyBorder="1"/>
    <xf numFmtId="0" fontId="0" fillId="11" borderId="14" xfId="0" applyFill="1" applyBorder="1"/>
    <xf numFmtId="0" fontId="0" fillId="0" borderId="13" xfId="0" applyBorder="1"/>
    <xf numFmtId="0" fontId="8" fillId="2" borderId="13" xfId="0" applyFont="1" applyFill="1" applyBorder="1" applyAlignment="1">
      <alignment horizontal="center" vertical="center"/>
    </xf>
    <xf numFmtId="0" fontId="0" fillId="0" borderId="13" xfId="0" applyBorder="1" applyAlignment="1">
      <alignment wrapText="1"/>
    </xf>
    <xf numFmtId="0" fontId="0" fillId="12" borderId="14" xfId="0" applyFill="1" applyBorder="1"/>
    <xf numFmtId="0" fontId="8" fillId="2" borderId="14" xfId="0" applyFont="1" applyFill="1" applyBorder="1" applyAlignment="1">
      <alignment horizontal="center" vertical="center"/>
    </xf>
    <xf numFmtId="0" fontId="0" fillId="13" borderId="14" xfId="0" applyFill="1" applyBorder="1"/>
    <xf numFmtId="0" fontId="0" fillId="14" borderId="14" xfId="0" applyFill="1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14" fontId="0" fillId="0" borderId="0" xfId="0" applyNumberFormat="1" applyBorder="1"/>
    <xf numFmtId="0" fontId="0" fillId="0" borderId="0" xfId="0" applyBorder="1" applyAlignment="1">
      <alignment horizontal="center"/>
    </xf>
    <xf numFmtId="0" fontId="0" fillId="0" borderId="14" xfId="0" applyBorder="1" applyAlignment="1">
      <alignment horizontal="center"/>
    </xf>
    <xf numFmtId="166" fontId="8" fillId="2" borderId="7" xfId="0" applyNumberFormat="1" applyFont="1" applyFill="1" applyBorder="1" applyAlignment="1">
      <alignment horizontal="center" vertical="center"/>
    </xf>
    <xf numFmtId="166" fontId="4" fillId="3" borderId="3" xfId="0" applyNumberFormat="1" applyFont="1" applyFill="1" applyBorder="1" applyAlignment="1">
      <alignment horizontal="center" vertical="center"/>
    </xf>
    <xf numFmtId="166" fontId="4" fillId="5" borderId="3" xfId="0" applyNumberFormat="1" applyFont="1" applyFill="1" applyBorder="1" applyAlignment="1">
      <alignment horizontal="center" vertical="center"/>
    </xf>
    <xf numFmtId="166" fontId="4" fillId="5" borderId="10" xfId="0" applyNumberFormat="1" applyFont="1" applyFill="1" applyBorder="1" applyAlignment="1">
      <alignment horizontal="center" vertical="center"/>
    </xf>
    <xf numFmtId="166" fontId="0" fillId="0" borderId="0" xfId="0" applyNumberFormat="1" applyAlignment="1"/>
    <xf numFmtId="14" fontId="8" fillId="2" borderId="7" xfId="0" applyNumberFormat="1" applyFont="1" applyFill="1" applyBorder="1" applyAlignment="1">
      <alignment horizontal="center" vertical="center"/>
    </xf>
    <xf numFmtId="14" fontId="4" fillId="3" borderId="3" xfId="0" applyNumberFormat="1" applyFont="1" applyFill="1" applyBorder="1" applyAlignment="1">
      <alignment horizontal="center" vertical="center"/>
    </xf>
    <xf numFmtId="14" fontId="4" fillId="5" borderId="3" xfId="0" applyNumberFormat="1" applyFont="1" applyFill="1" applyBorder="1" applyAlignment="1">
      <alignment horizontal="center" vertical="center"/>
    </xf>
    <xf numFmtId="14" fontId="4" fillId="5" borderId="10" xfId="0" applyNumberFormat="1" applyFont="1" applyFill="1" applyBorder="1" applyAlignment="1">
      <alignment horizontal="center" vertical="center"/>
    </xf>
    <xf numFmtId="14" fontId="0" fillId="0" borderId="0" xfId="0" applyNumberFormat="1" applyAlignment="1"/>
    <xf numFmtId="166" fontId="0" fillId="0" borderId="0" xfId="0" applyNumberFormat="1" applyBorder="1"/>
    <xf numFmtId="0" fontId="4" fillId="3" borderId="9" xfId="0" applyFont="1" applyFill="1" applyBorder="1" applyAlignment="1">
      <alignment horizontal="center" vertical="center"/>
    </xf>
    <xf numFmtId="165" fontId="4" fillId="3" borderId="10" xfId="0" applyNumberFormat="1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left" vertical="center"/>
    </xf>
    <xf numFmtId="3" fontId="4" fillId="3" borderId="10" xfId="0" applyNumberFormat="1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8" fillId="8" borderId="6" xfId="0" applyFont="1" applyFill="1" applyBorder="1" applyAlignment="1">
      <alignment horizontal="center" vertical="center"/>
    </xf>
    <xf numFmtId="0" fontId="8" fillId="8" borderId="7" xfId="0" applyFont="1" applyFill="1" applyBorder="1" applyAlignment="1">
      <alignment horizontal="center" vertical="center"/>
    </xf>
    <xf numFmtId="0" fontId="8" fillId="8" borderId="8" xfId="0" applyFont="1" applyFill="1" applyBorder="1" applyAlignment="1">
      <alignment horizontal="center" vertical="center"/>
    </xf>
    <xf numFmtId="0" fontId="0" fillId="0" borderId="0" xfId="0" pivotButton="1"/>
    <xf numFmtId="3" fontId="0" fillId="0" borderId="0" xfId="0" applyNumberFormat="1"/>
    <xf numFmtId="0" fontId="8" fillId="2" borderId="3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14" fontId="8" fillId="2" borderId="3" xfId="0" applyNumberFormat="1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left" vertical="center"/>
    </xf>
    <xf numFmtId="1" fontId="5" fillId="3" borderId="2" xfId="0" applyNumberFormat="1" applyFont="1" applyFill="1" applyBorder="1" applyAlignment="1">
      <alignment horizontal="right" vertical="center"/>
    </xf>
    <xf numFmtId="0" fontId="4" fillId="5" borderId="2" xfId="0" applyFont="1" applyFill="1" applyBorder="1" applyAlignment="1">
      <alignment horizontal="left" vertical="center"/>
    </xf>
    <xf numFmtId="1" fontId="5" fillId="5" borderId="2" xfId="0" applyNumberFormat="1" applyFont="1" applyFill="1" applyBorder="1" applyAlignment="1">
      <alignment horizontal="right" vertical="center"/>
    </xf>
    <xf numFmtId="3" fontId="5" fillId="5" borderId="2" xfId="0" applyNumberFormat="1" applyFont="1" applyFill="1" applyBorder="1" applyAlignment="1">
      <alignment horizontal="right" vertical="center"/>
    </xf>
    <xf numFmtId="3" fontId="5" fillId="3" borderId="2" xfId="0" applyNumberFormat="1" applyFont="1" applyFill="1" applyBorder="1" applyAlignment="1">
      <alignment horizontal="right" vertical="center"/>
    </xf>
    <xf numFmtId="164" fontId="5" fillId="3" borderId="2" xfId="0" applyNumberFormat="1" applyFont="1" applyFill="1" applyBorder="1" applyAlignment="1">
      <alignment horizontal="right" vertical="center"/>
    </xf>
    <xf numFmtId="0" fontId="0" fillId="6" borderId="0" xfId="0" applyFill="1" applyBorder="1" applyAlignment="1"/>
    <xf numFmtId="0" fontId="1" fillId="15" borderId="0" xfId="0" applyFont="1" applyFill="1" applyBorder="1" applyAlignment="1">
      <alignment horizontal="center" vertical="center"/>
    </xf>
    <xf numFmtId="0" fontId="2" fillId="14" borderId="0" xfId="0" applyFont="1" applyFill="1" applyBorder="1" applyAlignment="1">
      <alignment horizontal="center" vertical="center"/>
    </xf>
    <xf numFmtId="0" fontId="8" fillId="13" borderId="13" xfId="0" applyFont="1" applyFill="1" applyBorder="1" applyAlignment="1">
      <alignment horizontal="left" vertical="center"/>
    </xf>
    <xf numFmtId="0" fontId="8" fillId="13" borderId="0" xfId="0" applyFont="1" applyFill="1" applyBorder="1" applyAlignment="1">
      <alignment horizontal="left" vertical="center"/>
    </xf>
    <xf numFmtId="0" fontId="8" fillId="14" borderId="13" xfId="0" applyFont="1" applyFill="1" applyBorder="1" applyAlignment="1">
      <alignment horizontal="left" vertical="center"/>
    </xf>
    <xf numFmtId="0" fontId="8" fillId="14" borderId="0" xfId="0" applyFont="1" applyFill="1" applyBorder="1" applyAlignment="1">
      <alignment horizontal="left" vertical="center"/>
    </xf>
    <xf numFmtId="0" fontId="6" fillId="5" borderId="4" xfId="0" applyFont="1" applyFill="1" applyBorder="1" applyAlignment="1">
      <alignment horizontal="left" vertical="center"/>
    </xf>
    <xf numFmtId="0" fontId="6" fillId="5" borderId="12" xfId="0" applyFont="1" applyFill="1" applyBorder="1" applyAlignment="1">
      <alignment horizontal="left" vertical="center"/>
    </xf>
    <xf numFmtId="0" fontId="7" fillId="11" borderId="13" xfId="0" applyFont="1" applyFill="1" applyBorder="1" applyAlignment="1">
      <alignment horizontal="left" vertical="center"/>
    </xf>
    <xf numFmtId="0" fontId="7" fillId="11" borderId="0" xfId="0" applyFont="1" applyFill="1" applyBorder="1" applyAlignment="1">
      <alignment horizontal="left" vertical="center"/>
    </xf>
    <xf numFmtId="0" fontId="8" fillId="10" borderId="13" xfId="0" applyFont="1" applyFill="1" applyBorder="1" applyAlignment="1">
      <alignment horizontal="left" vertical="center"/>
    </xf>
    <xf numFmtId="0" fontId="8" fillId="10" borderId="0" xfId="0" applyFont="1" applyFill="1" applyBorder="1" applyAlignment="1">
      <alignment horizontal="left" vertical="center"/>
    </xf>
    <xf numFmtId="0" fontId="8" fillId="12" borderId="13" xfId="0" applyFont="1" applyFill="1" applyBorder="1" applyAlignment="1">
      <alignment horizontal="left" vertical="center"/>
    </xf>
    <xf numFmtId="0" fontId="8" fillId="12" borderId="0" xfId="0" applyFont="1" applyFill="1" applyBorder="1" applyAlignment="1">
      <alignment horizontal="left" vertical="center"/>
    </xf>
    <xf numFmtId="0" fontId="10" fillId="7" borderId="11" xfId="0" applyFont="1" applyFill="1" applyBorder="1" applyAlignment="1">
      <alignment horizontal="center" vertical="center"/>
    </xf>
    <xf numFmtId="0" fontId="10" fillId="8" borderId="0" xfId="0" applyFont="1" applyFill="1" applyBorder="1" applyAlignment="1">
      <alignment horizontal="center" vertical="center"/>
    </xf>
    <xf numFmtId="0" fontId="10" fillId="6" borderId="0" xfId="0" applyFont="1" applyFill="1" applyBorder="1" applyAlignment="1">
      <alignment horizontal="center" vertical="center"/>
    </xf>
    <xf numFmtId="0" fontId="10" fillId="9" borderId="0" xfId="0" applyFont="1" applyFill="1" applyBorder="1" applyAlignment="1">
      <alignment horizontal="center" vertical="center"/>
    </xf>
    <xf numFmtId="0" fontId="0" fillId="0" borderId="0" xfId="0" applyNumberFormat="1"/>
    <xf numFmtId="0" fontId="11" fillId="4" borderId="0" xfId="0" applyFont="1" applyFill="1" applyBorder="1" applyAlignment="1">
      <alignment horizontal="center" vertical="center"/>
    </xf>
    <xf numFmtId="3" fontId="12" fillId="5" borderId="1" xfId="0" applyNumberFormat="1" applyFont="1" applyFill="1" applyBorder="1" applyAlignment="1">
      <alignment horizontal="center" vertical="center"/>
    </xf>
    <xf numFmtId="1" fontId="12" fillId="5" borderId="1" xfId="0" applyNumberFormat="1" applyFont="1" applyFill="1" applyBorder="1" applyAlignment="1">
      <alignment horizontal="center" vertical="center"/>
    </xf>
    <xf numFmtId="0" fontId="13" fillId="4" borderId="0" xfId="0" applyFont="1" applyFill="1" applyBorder="1" applyAlignment="1">
      <alignment horizontal="center" vertical="center"/>
    </xf>
    <xf numFmtId="0" fontId="14" fillId="4" borderId="0" xfId="0" applyFont="1" applyFill="1" applyBorder="1" applyAlignment="1">
      <alignment horizontal="center" vertical="center"/>
    </xf>
    <xf numFmtId="0" fontId="15" fillId="10" borderId="15" xfId="0" applyFont="1" applyFill="1" applyBorder="1" applyAlignment="1">
      <alignment horizontal="center" vertical="center"/>
    </xf>
    <xf numFmtId="0" fontId="15" fillId="10" borderId="16" xfId="0" applyFont="1" applyFill="1" applyBorder="1" applyAlignment="1">
      <alignment horizontal="center" vertical="center"/>
    </xf>
    <xf numFmtId="0" fontId="15" fillId="10" borderId="17" xfId="0" applyFont="1" applyFill="1" applyBorder="1" applyAlignment="1">
      <alignment horizontal="center" vertical="center"/>
    </xf>
    <xf numFmtId="0" fontId="15" fillId="10" borderId="13" xfId="0" applyFont="1" applyFill="1" applyBorder="1" applyAlignment="1">
      <alignment horizontal="center" vertical="center"/>
    </xf>
    <xf numFmtId="0" fontId="15" fillId="10" borderId="0" xfId="0" applyFont="1" applyFill="1" applyBorder="1" applyAlignment="1">
      <alignment horizontal="center" vertical="center"/>
    </xf>
    <xf numFmtId="0" fontId="15" fillId="10" borderId="14" xfId="0" applyFont="1" applyFill="1" applyBorder="1" applyAlignment="1">
      <alignment horizontal="center" vertical="center"/>
    </xf>
  </cellXfs>
  <cellStyles count="1">
    <cellStyle name="Normal" xfId="0" builtinId="0"/>
  </cellStyles>
  <dxfs count="137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F172A"/>
        <name val="Arial"/>
        <charset val="1"/>
        <scheme val="none"/>
      </font>
      <fill>
        <patternFill patternType="solid">
          <fgColor rgb="FFEFF6FF"/>
          <bgColor rgb="FFF1F5F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/>
        <top style="thin">
          <color rgb="FFCBD5E1"/>
        </top>
        <bottom style="thin">
          <color rgb="FFCBD5E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F172A"/>
        <name val="Arial"/>
        <charset val="1"/>
        <scheme val="none"/>
      </font>
      <fill>
        <patternFill patternType="solid">
          <fgColor rgb="FFEFF6FF"/>
          <bgColor rgb="FFF1F5F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F172A"/>
        <name val="Arial"/>
        <charset val="1"/>
        <scheme val="none"/>
      </font>
      <fill>
        <patternFill patternType="solid">
          <fgColor rgb="FFEFF6FF"/>
          <bgColor rgb="FFF1F5F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F172A"/>
        <name val="Arial"/>
        <charset val="1"/>
        <scheme val="none"/>
      </font>
      <numFmt numFmtId="3" formatCode="#,##0"/>
      <fill>
        <patternFill patternType="solid">
          <fgColor rgb="FFEFF6FF"/>
          <bgColor rgb="FFF1F5F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F172A"/>
        <name val="Arial"/>
        <charset val="1"/>
        <scheme val="none"/>
      </font>
      <numFmt numFmtId="3" formatCode="#,##0"/>
      <fill>
        <patternFill patternType="solid">
          <fgColor rgb="FFEFF6FF"/>
          <bgColor rgb="FFF1F5F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F172A"/>
        <name val="Arial"/>
        <charset val="1"/>
        <scheme val="none"/>
      </font>
      <numFmt numFmtId="3" formatCode="#,##0"/>
      <fill>
        <patternFill patternType="solid">
          <fgColor rgb="FFEFF6FF"/>
          <bgColor rgb="FFF1F5F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F172A"/>
        <name val="Arial"/>
        <charset val="1"/>
        <scheme val="none"/>
      </font>
      <fill>
        <patternFill patternType="solid">
          <fgColor rgb="FFEFF6FF"/>
          <bgColor rgb="FFF1F5F9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F172A"/>
        <name val="Arial"/>
        <charset val="1"/>
        <scheme val="none"/>
      </font>
      <fill>
        <patternFill patternType="solid">
          <fgColor rgb="FFEFF6FF"/>
          <bgColor rgb="FFF1F5F9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F172A"/>
        <name val="Arial"/>
        <charset val="1"/>
        <scheme val="none"/>
      </font>
      <numFmt numFmtId="165" formatCode="dd\-mmm\-yyyy"/>
      <fill>
        <patternFill patternType="solid">
          <fgColor rgb="FFEFF6FF"/>
          <bgColor rgb="FFF1F5F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F172A"/>
        <name val="Arial"/>
        <charset val="1"/>
        <scheme val="none"/>
      </font>
      <fill>
        <patternFill patternType="solid">
          <fgColor rgb="FFEFF6FF"/>
          <bgColor rgb="FFF1F5F9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border outline="0">
        <top style="thin">
          <color rgb="FFCBD5E1"/>
        </top>
      </border>
    </dxf>
    <dxf>
      <border outline="0">
        <bottom style="thin">
          <color rgb="FFCBD5E1"/>
        </bottom>
      </border>
    </dxf>
    <dxf>
      <border outline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charset val="1"/>
        <scheme val="none"/>
      </font>
      <fill>
        <patternFill patternType="solid">
          <fgColor rgb="FF333333"/>
          <bgColor rgb="FF1A3C5E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CBD5E1"/>
        </left>
        <right style="thin">
          <color rgb="FFCBD5E1"/>
        </right>
        <top/>
        <bottom/>
      </border>
    </dxf>
    <dxf>
      <fill>
        <patternFill>
          <bgColor rgb="FFFFEDD5"/>
        </patternFill>
      </fill>
    </dxf>
    <dxf>
      <fill>
        <patternFill>
          <bgColor rgb="FFFEE2E2"/>
        </patternFill>
      </fill>
    </dxf>
    <dxf>
      <fill>
        <patternFill>
          <bgColor rgb="FFDCFCE7"/>
        </patternFill>
      </fill>
    </dxf>
    <dxf>
      <fill>
        <patternFill>
          <bgColor rgb="FFFEE2E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F172A"/>
        <name val="Arial"/>
        <charset val="1"/>
        <scheme val="none"/>
      </font>
      <fill>
        <patternFill patternType="solid">
          <fgColor rgb="FFF9F9F9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/>
        <top style="thin">
          <color rgb="FFCBD5E1"/>
        </top>
        <bottom style="thin">
          <color rgb="FFCBD5E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F172A"/>
        <name val="Arial"/>
        <charset val="1"/>
        <scheme val="none"/>
      </font>
      <fill>
        <patternFill patternType="solid">
          <fgColor rgb="FFF9F9F9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F172A"/>
        <name val="Arial"/>
        <charset val="1"/>
        <scheme val="none"/>
      </font>
      <fill>
        <patternFill patternType="solid">
          <fgColor rgb="FFF9F9F9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F172A"/>
        <name val="Arial"/>
        <charset val="1"/>
        <scheme val="none"/>
      </font>
      <fill>
        <patternFill patternType="solid">
          <fgColor rgb="FFF9F9F9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F172A"/>
        <name val="Arial"/>
        <charset val="1"/>
        <scheme val="none"/>
      </font>
      <fill>
        <patternFill patternType="solid">
          <fgColor rgb="FFF9F9F9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F172A"/>
        <name val="Arial"/>
        <charset val="1"/>
        <scheme val="none"/>
      </font>
      <fill>
        <patternFill patternType="solid">
          <fgColor rgb="FFF9F9F9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F172A"/>
        <name val="Arial"/>
        <charset val="1"/>
        <scheme val="none"/>
      </font>
      <fill>
        <patternFill patternType="solid">
          <fgColor rgb="FFF9F9F9"/>
          <bgColor rgb="FFFFFFFF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F172A"/>
        <name val="Arial"/>
        <charset val="1"/>
        <scheme val="none"/>
      </font>
      <fill>
        <patternFill patternType="solid">
          <fgColor rgb="FFF9F9F9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border outline="0">
        <top style="thin">
          <color rgb="FFCBD5E1"/>
        </top>
      </border>
    </dxf>
    <dxf>
      <border outline="0">
        <bottom style="thin">
          <color rgb="FFCBD5E1"/>
        </bottom>
      </border>
    </dxf>
    <dxf>
      <border outline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F172A"/>
        <name val="Arial"/>
        <charset val="1"/>
        <scheme val="none"/>
      </font>
      <fill>
        <patternFill patternType="solid">
          <fgColor rgb="FFF9F9F9"/>
          <bgColor rgb="FFFFFFFF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charset val="1"/>
        <scheme val="none"/>
      </font>
      <fill>
        <patternFill patternType="solid">
          <fgColor rgb="FFD97706"/>
          <bgColor rgb="FFEA580C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CBD5E1"/>
        </left>
        <right style="thin">
          <color rgb="FFCBD5E1"/>
        </right>
        <top/>
        <bottom/>
      </border>
    </dxf>
    <dxf>
      <fill>
        <patternFill>
          <bgColor rgb="FFDCFCE7"/>
        </patternFill>
      </fill>
    </dxf>
    <dxf>
      <fill>
        <patternFill>
          <bgColor rgb="FFFEF9C3"/>
        </patternFill>
      </fill>
    </dxf>
    <dxf>
      <fill>
        <patternFill>
          <bgColor rgb="FFFFEDD5"/>
        </patternFill>
      </fill>
    </dxf>
    <dxf>
      <fill>
        <patternFill>
          <bgColor rgb="FFFEE2E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F172A"/>
        <name val="Arial"/>
        <charset val="1"/>
        <scheme val="none"/>
      </font>
      <numFmt numFmtId="3" formatCode="#,##0"/>
      <fill>
        <patternFill patternType="solid">
          <fgColor rgb="FFF9F9F9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/>
        <top style="thin">
          <color rgb="FFCBD5E1"/>
        </top>
        <bottom style="thin">
          <color rgb="FFCBD5E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F172A"/>
        <name val="Arial"/>
        <charset val="1"/>
        <scheme val="none"/>
      </font>
      <numFmt numFmtId="3" formatCode="#,##0"/>
      <fill>
        <patternFill patternType="solid">
          <fgColor rgb="FFF9F9F9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F172A"/>
        <name val="Arial"/>
        <charset val="1"/>
        <scheme val="none"/>
      </font>
      <fill>
        <patternFill patternType="solid">
          <fgColor rgb="FFF9F9F9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F172A"/>
        <name val="Arial"/>
        <charset val="1"/>
        <scheme val="none"/>
      </font>
      <fill>
        <patternFill patternType="solid">
          <fgColor rgb="FFF9F9F9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F172A"/>
        <name val="Arial"/>
        <charset val="1"/>
        <scheme val="none"/>
      </font>
      <numFmt numFmtId="165" formatCode="dd\-mmm\-yyyy"/>
      <fill>
        <patternFill patternType="solid">
          <fgColor rgb="FFF9F9F9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F172A"/>
        <name val="Arial"/>
        <charset val="1"/>
        <scheme val="none"/>
      </font>
      <fill>
        <patternFill patternType="solid">
          <fgColor rgb="FFF9F9F9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F172A"/>
        <name val="Arial"/>
        <charset val="1"/>
        <scheme val="none"/>
      </font>
      <fill>
        <patternFill patternType="solid">
          <fgColor rgb="FFF9F9F9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F172A"/>
        <name val="Arial"/>
        <charset val="1"/>
        <scheme val="none"/>
      </font>
      <fill>
        <patternFill patternType="solid">
          <fgColor rgb="FFF9F9F9"/>
          <bgColor rgb="FFFFFFFF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F172A"/>
        <name val="Arial"/>
        <charset val="1"/>
        <scheme val="none"/>
      </font>
      <fill>
        <patternFill patternType="solid">
          <fgColor rgb="FFF9F9F9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border outline="0">
        <top style="thin">
          <color rgb="FFCBD5E1"/>
        </top>
      </border>
    </dxf>
    <dxf>
      <border outline="0">
        <bottom style="thin">
          <color rgb="FFCBD5E1"/>
        </bottom>
      </border>
    </dxf>
    <dxf>
      <border outline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charset val="1"/>
        <scheme val="none"/>
      </font>
      <fill>
        <patternFill patternType="solid">
          <fgColor rgb="FF333333"/>
          <bgColor rgb="FF1A3C5E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CBD5E1"/>
        </left>
        <right style="thin">
          <color rgb="FFCBD5E1"/>
        </right>
        <top/>
        <bottom/>
      </border>
    </dxf>
    <dxf>
      <fill>
        <patternFill>
          <bgColor rgb="FFDCFCE7"/>
        </patternFill>
      </fill>
    </dxf>
    <dxf>
      <fill>
        <patternFill>
          <bgColor rgb="FFFEE2E2"/>
        </patternFill>
      </fill>
    </dxf>
    <dxf>
      <fill>
        <patternFill>
          <bgColor rgb="FFFFEDD5"/>
        </patternFill>
      </fill>
    </dxf>
    <dxf>
      <fill>
        <patternFill>
          <bgColor rgb="FFFEE2E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F172A"/>
        <name val="Arial"/>
        <charset val="1"/>
        <scheme val="none"/>
      </font>
      <fill>
        <patternFill patternType="solid">
          <fgColor rgb="FFF9F9F9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/>
        <top style="thin">
          <color rgb="FFCBD5E1"/>
        </top>
        <bottom style="thin">
          <color rgb="FFCBD5E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F172A"/>
        <name val="Arial"/>
        <charset val="1"/>
        <scheme val="none"/>
      </font>
      <fill>
        <patternFill patternType="solid">
          <fgColor rgb="FFF9F9F9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F172A"/>
        <name val="Arial"/>
        <charset val="1"/>
        <scheme val="none"/>
      </font>
      <fill>
        <patternFill patternType="solid">
          <fgColor rgb="FFF9F9F9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F172A"/>
        <name val="Arial"/>
        <charset val="1"/>
        <scheme val="none"/>
      </font>
      <fill>
        <patternFill patternType="solid">
          <fgColor rgb="FFF9F9F9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F172A"/>
        <name val="Arial"/>
        <charset val="1"/>
        <scheme val="none"/>
      </font>
      <fill>
        <patternFill patternType="solid">
          <fgColor rgb="FFF9F9F9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F172A"/>
        <name val="Arial"/>
        <charset val="1"/>
        <scheme val="none"/>
      </font>
      <numFmt numFmtId="3" formatCode="#,##0"/>
      <fill>
        <patternFill patternType="solid">
          <fgColor rgb="FFF9F9F9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F172A"/>
        <name val="Arial"/>
        <charset val="1"/>
        <scheme val="none"/>
      </font>
      <fill>
        <patternFill patternType="solid">
          <fgColor rgb="FFF9F9F9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F172A"/>
        <name val="Arial"/>
        <charset val="1"/>
        <scheme val="none"/>
      </font>
      <fill>
        <patternFill patternType="solid">
          <fgColor rgb="FFF9F9F9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F172A"/>
        <name val="Arial"/>
        <charset val="1"/>
        <scheme val="none"/>
      </font>
      <fill>
        <patternFill patternType="solid">
          <fgColor rgb="FFF9F9F9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F172A"/>
        <name val="Arial"/>
        <charset val="1"/>
        <scheme val="none"/>
      </font>
      <fill>
        <patternFill patternType="solid">
          <fgColor rgb="FFF9F9F9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F172A"/>
        <name val="Arial"/>
        <charset val="1"/>
        <scheme val="none"/>
      </font>
      <numFmt numFmtId="3" formatCode="#,##0"/>
      <fill>
        <patternFill patternType="solid">
          <fgColor rgb="FFF9F9F9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F172A"/>
        <name val="Arial"/>
        <charset val="1"/>
        <scheme val="none"/>
      </font>
      <numFmt numFmtId="3" formatCode="#,##0"/>
      <fill>
        <patternFill patternType="solid">
          <fgColor rgb="FFF9F9F9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F172A"/>
        <name val="Arial"/>
        <charset val="1"/>
        <scheme val="none"/>
      </font>
      <fill>
        <patternFill patternType="solid">
          <fgColor rgb="FFF9F9F9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F172A"/>
        <name val="Arial"/>
        <charset val="1"/>
        <scheme val="none"/>
      </font>
      <fill>
        <patternFill patternType="solid">
          <fgColor rgb="FFF9F9F9"/>
          <bgColor rgb="FFFFFFFF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F172A"/>
        <name val="Arial"/>
        <charset val="1"/>
        <scheme val="none"/>
      </font>
      <fill>
        <patternFill patternType="solid">
          <fgColor rgb="FFF9F9F9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border outline="0">
        <top style="thin">
          <color rgb="FFCBD5E1"/>
        </top>
      </border>
    </dxf>
    <dxf>
      <border outline="0">
        <bottom style="thin">
          <color rgb="FFCBD5E1"/>
        </bottom>
      </border>
    </dxf>
    <dxf>
      <border outline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F172A"/>
        <name val="Arial"/>
        <charset val="1"/>
        <scheme val="none"/>
      </font>
      <fill>
        <patternFill patternType="solid">
          <fgColor rgb="FFF9F9F9"/>
          <bgColor rgb="FFFFFFFF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charset val="1"/>
        <scheme val="none"/>
      </font>
      <fill>
        <patternFill patternType="solid">
          <fgColor rgb="FF333333"/>
          <bgColor rgb="FF1A3C5E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CBD5E1"/>
        </left>
        <right style="thin">
          <color rgb="FFCBD5E1"/>
        </right>
        <top/>
        <bottom/>
      </border>
    </dxf>
    <dxf>
      <fill>
        <patternFill>
          <bgColor rgb="FFFEE2E2"/>
        </patternFill>
      </fill>
    </dxf>
    <dxf>
      <fill>
        <patternFill>
          <bgColor rgb="FFFEE2E2"/>
        </patternFill>
      </fill>
    </dxf>
    <dxf>
      <fill>
        <patternFill>
          <bgColor rgb="FFDCFCE7"/>
        </patternFill>
      </fill>
    </dxf>
    <dxf>
      <fill>
        <patternFill>
          <bgColor rgb="FFFFEDD5"/>
        </patternFill>
      </fill>
    </dxf>
    <dxf>
      <fill>
        <patternFill>
          <bgColor rgb="FFFEE2E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F172A"/>
        <name val="Arial"/>
        <charset val="1"/>
        <scheme val="none"/>
      </font>
      <numFmt numFmtId="3" formatCode="#,##0"/>
      <fill>
        <patternFill patternType="solid">
          <fgColor rgb="FFF9F9F9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/>
        <top style="thin">
          <color rgb="FFCBD5E1"/>
        </top>
        <bottom style="thin">
          <color rgb="FFCBD5E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F172A"/>
        <name val="Arial"/>
        <charset val="1"/>
        <scheme val="none"/>
      </font>
      <numFmt numFmtId="3" formatCode="#,##0"/>
      <fill>
        <patternFill patternType="solid">
          <fgColor rgb="FFF9F9F9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F172A"/>
        <name val="Arial"/>
        <charset val="1"/>
        <scheme val="none"/>
      </font>
      <numFmt numFmtId="3" formatCode="#,##0"/>
      <fill>
        <patternFill patternType="solid">
          <fgColor rgb="FFF9F9F9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F172A"/>
        <name val="Arial"/>
        <charset val="1"/>
        <scheme val="none"/>
      </font>
      <numFmt numFmtId="3" formatCode="#,##0"/>
      <fill>
        <patternFill patternType="solid">
          <fgColor rgb="FFF9F9F9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F172A"/>
        <name val="Arial"/>
        <charset val="1"/>
        <scheme val="none"/>
      </font>
      <numFmt numFmtId="3" formatCode="#,##0"/>
      <fill>
        <patternFill patternType="solid">
          <fgColor rgb="FFF9F9F9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F172A"/>
        <name val="Arial"/>
        <charset val="1"/>
        <scheme val="none"/>
      </font>
      <numFmt numFmtId="3" formatCode="#,##0"/>
      <fill>
        <patternFill patternType="solid">
          <fgColor rgb="FFF9F9F9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F172A"/>
        <name val="Arial"/>
        <charset val="1"/>
        <scheme val="none"/>
      </font>
      <numFmt numFmtId="3" formatCode="#,##0"/>
      <fill>
        <patternFill patternType="solid">
          <fgColor rgb="FFF9F9F9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F172A"/>
        <name val="Arial"/>
        <charset val="1"/>
        <scheme val="none"/>
      </font>
      <fill>
        <patternFill patternType="solid">
          <fgColor rgb="FFF9F9F9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F172A"/>
        <name val="Arial"/>
        <charset val="1"/>
        <scheme val="none"/>
      </font>
      <fill>
        <patternFill patternType="solid">
          <fgColor rgb="FFF9F9F9"/>
          <bgColor rgb="FFFFFFFF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F172A"/>
        <name val="Arial"/>
        <charset val="1"/>
        <scheme val="none"/>
      </font>
      <fill>
        <patternFill patternType="solid">
          <fgColor rgb="FFF9F9F9"/>
          <bgColor rgb="FFFFFFFF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F172A"/>
        <name val="Arial"/>
        <charset val="1"/>
        <scheme val="none"/>
      </font>
      <fill>
        <patternFill patternType="solid">
          <fgColor rgb="FFF9F9F9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F172A"/>
        <name val="Arial"/>
        <charset val="1"/>
        <scheme val="none"/>
      </font>
      <numFmt numFmtId="19" formatCode="m/d/yyyy"/>
      <fill>
        <patternFill patternType="solid">
          <fgColor rgb="FFF9F9F9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F172A"/>
        <name val="Arial"/>
        <charset val="1"/>
        <scheme val="none"/>
      </font>
      <numFmt numFmtId="0" formatCode="General"/>
      <fill>
        <patternFill patternType="solid">
          <fgColor rgb="FFF9F9F9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F172A"/>
        <name val="Arial"/>
        <charset val="1"/>
        <scheme val="none"/>
      </font>
      <fill>
        <patternFill patternType="solid">
          <fgColor rgb="FFF9F9F9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border outline="0">
        <top style="thin">
          <color rgb="FFCBD5E1"/>
        </top>
      </border>
    </dxf>
    <dxf>
      <border outline="0">
        <bottom style="thin">
          <color rgb="FFCBD5E1"/>
        </bottom>
      </border>
    </dxf>
    <dxf>
      <border outline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F172A"/>
        <name val="Arial"/>
        <charset val="1"/>
        <scheme val="none"/>
      </font>
      <fill>
        <patternFill patternType="solid">
          <fgColor rgb="FFF9F9F9"/>
          <bgColor rgb="FFFFFFFF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charset val="1"/>
        <scheme val="none"/>
      </font>
      <fill>
        <patternFill patternType="solid">
          <fgColor rgb="FF333333"/>
          <bgColor rgb="FF1A3C5E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CBD5E1"/>
        </left>
        <right style="thin">
          <color rgb="FFCBD5E1"/>
        </right>
        <top/>
        <bottom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F172A"/>
        <name val="Arial"/>
        <charset val="1"/>
        <scheme val="none"/>
      </font>
      <fill>
        <patternFill patternType="solid">
          <fgColor rgb="FFF9F9F9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/>
        <top style="thin">
          <color rgb="FFCBD5E1"/>
        </top>
        <bottom style="thin">
          <color rgb="FFCBD5E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F172A"/>
        <name val="Arial"/>
        <charset val="1"/>
        <scheme val="none"/>
      </font>
      <numFmt numFmtId="166" formatCode="[$-F800]dddd\,\ mmmm\ dd\,\ yyyy"/>
      <fill>
        <patternFill patternType="solid">
          <fgColor rgb="FFF9F9F9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F172A"/>
        <name val="Arial"/>
        <charset val="1"/>
        <scheme val="none"/>
      </font>
      <fill>
        <patternFill patternType="solid">
          <fgColor rgb="FFF9F9F9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F172A"/>
        <name val="Arial"/>
        <charset val="1"/>
        <scheme val="none"/>
      </font>
      <fill>
        <patternFill patternType="solid">
          <fgColor rgb="FFF9F9F9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F172A"/>
        <name val="Arial"/>
        <charset val="1"/>
        <scheme val="none"/>
      </font>
      <numFmt numFmtId="3" formatCode="#,##0"/>
      <fill>
        <patternFill patternType="solid">
          <fgColor rgb="FFF9F9F9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F172A"/>
        <name val="Arial"/>
        <charset val="1"/>
        <scheme val="none"/>
      </font>
      <numFmt numFmtId="3" formatCode="#,##0"/>
      <fill>
        <patternFill patternType="solid">
          <fgColor rgb="FFF9F9F9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F172A"/>
        <name val="Arial"/>
        <charset val="1"/>
        <scheme val="none"/>
      </font>
      <fill>
        <patternFill patternType="solid">
          <fgColor rgb="FFF9F9F9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F172A"/>
        <name val="Arial"/>
        <charset val="1"/>
        <scheme val="none"/>
      </font>
      <fill>
        <patternFill patternType="solid">
          <fgColor rgb="FFF9F9F9"/>
          <bgColor rgb="FFFFFFFF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F172A"/>
        <name val="Arial"/>
        <charset val="1"/>
        <scheme val="none"/>
      </font>
      <fill>
        <patternFill patternType="solid">
          <fgColor rgb="FFF9F9F9"/>
          <bgColor rgb="FFFFFFFF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F172A"/>
        <name val="Arial"/>
        <charset val="1"/>
        <scheme val="none"/>
      </font>
      <fill>
        <patternFill patternType="solid">
          <fgColor rgb="FFF9F9F9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F172A"/>
        <name val="Arial"/>
        <charset val="1"/>
        <scheme val="none"/>
      </font>
      <numFmt numFmtId="19" formatCode="m/d/yyyy"/>
      <fill>
        <patternFill patternType="solid">
          <fgColor rgb="FFF9F9F9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F172A"/>
        <name val="Arial"/>
        <charset val="1"/>
        <scheme val="none"/>
      </font>
      <fill>
        <patternFill patternType="solid">
          <fgColor rgb="FFF9F9F9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border outline="0">
        <top style="thin">
          <color rgb="FFCBD5E1"/>
        </top>
      </border>
    </dxf>
    <dxf>
      <border outline="0">
        <bottom style="thin">
          <color rgb="FFCBD5E1"/>
        </bottom>
      </border>
    </dxf>
    <dxf>
      <border outline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charset val="1"/>
        <scheme val="none"/>
      </font>
      <fill>
        <patternFill patternType="solid">
          <fgColor rgb="FF333333"/>
          <bgColor rgb="FF1A3C5E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CBD5E1"/>
        </left>
        <right style="thin">
          <color rgb="FFCBD5E1"/>
        </right>
        <top/>
        <bottom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F172A"/>
        <name val="Arial"/>
        <charset val="1"/>
        <scheme val="none"/>
      </font>
      <fill>
        <patternFill patternType="solid">
          <fgColor rgb="FFF9F9F9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/>
        <top style="thin">
          <color rgb="FFCBD5E1"/>
        </top>
        <bottom style="thin">
          <color rgb="FFCBD5E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F172A"/>
        <name val="Arial"/>
        <charset val="1"/>
        <scheme val="none"/>
      </font>
      <fill>
        <patternFill patternType="solid">
          <fgColor rgb="FFF9F9F9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F172A"/>
        <name val="Arial"/>
        <charset val="1"/>
        <scheme val="none"/>
      </font>
      <fill>
        <patternFill patternType="solid">
          <fgColor rgb="FFF9F9F9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F172A"/>
        <name val="Arial"/>
        <charset val="1"/>
        <scheme val="none"/>
      </font>
      <fill>
        <patternFill patternType="solid">
          <fgColor rgb="FFF9F9F9"/>
          <bgColor rgb="FFFFFFFF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F172A"/>
        <name val="Arial"/>
        <charset val="1"/>
        <scheme val="none"/>
      </font>
      <numFmt numFmtId="166" formatCode="[$-F800]dddd\,\ mmmm\ dd\,\ yyyy"/>
      <fill>
        <patternFill patternType="solid">
          <fgColor rgb="FFF9F9F9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F172A"/>
        <name val="Arial"/>
        <charset val="1"/>
        <scheme val="none"/>
      </font>
      <fill>
        <patternFill patternType="solid">
          <fgColor rgb="FFF9F9F9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F172A"/>
        <name val="Arial"/>
        <charset val="1"/>
        <scheme val="none"/>
      </font>
      <fill>
        <patternFill patternType="solid">
          <fgColor rgb="FFF9F9F9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F172A"/>
        <name val="Arial"/>
        <charset val="1"/>
        <scheme val="none"/>
      </font>
      <fill>
        <patternFill patternType="solid">
          <fgColor rgb="FFF9F9F9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F172A"/>
        <name val="Arial"/>
        <charset val="1"/>
        <scheme val="none"/>
      </font>
      <fill>
        <patternFill patternType="solid">
          <fgColor rgb="FFF9F9F9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F172A"/>
        <name val="Arial"/>
        <charset val="1"/>
        <scheme val="none"/>
      </font>
      <fill>
        <patternFill patternType="solid">
          <fgColor rgb="FFF9F9F9"/>
          <bgColor rgb="FFFFFFFF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F172A"/>
        <name val="Arial"/>
        <charset val="1"/>
        <scheme val="none"/>
      </font>
      <fill>
        <patternFill patternType="solid">
          <fgColor rgb="FFF9F9F9"/>
          <bgColor rgb="FFFFFFFF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F172A"/>
        <name val="Arial"/>
        <charset val="1"/>
        <scheme val="none"/>
      </font>
      <fill>
        <patternFill patternType="solid">
          <fgColor rgb="FFF9F9F9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border outline="0">
        <top style="thin">
          <color rgb="FFCBD5E1"/>
        </top>
      </border>
    </dxf>
    <dxf>
      <border outline="0">
        <bottom style="thin">
          <color rgb="FFCBD5E1"/>
        </bottom>
      </border>
    </dxf>
    <dxf>
      <border outline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charset val="1"/>
        <scheme val="none"/>
      </font>
      <fill>
        <patternFill patternType="solid">
          <fgColor rgb="FF333333"/>
          <bgColor rgb="FF1A3C5E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CBD5E1"/>
        </left>
        <right style="thin">
          <color rgb="FFCBD5E1"/>
        </right>
        <top/>
        <bottom/>
      </border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DC2626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78787"/>
      <rgbColor rgb="FF9999FF"/>
      <rgbColor rgb="FF993366"/>
      <rgbColor rgb="FFFEF9C3"/>
      <rgbColor rgb="FFDCFCE7"/>
      <rgbColor rgb="FF660066"/>
      <rgbColor rgb="FFFF8080"/>
      <rgbColor rgb="FF3B82F6"/>
      <rgbColor rgb="FFCBD5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BEAFE"/>
      <rgbColor rgb="FFF1F5F9"/>
      <rgbColor rgb="FFFFEDD5"/>
      <rgbColor rgb="FFEFF6FF"/>
      <rgbColor rgb="FFF9F9F9"/>
      <rgbColor rgb="FFCC99FF"/>
      <rgbColor rgb="FFFEE2E2"/>
      <rgbColor rgb="FF2563EB"/>
      <rgbColor rgb="FF33CCCC"/>
      <rgbColor rgb="FF99CC00"/>
      <rgbColor rgb="FFFFCC00"/>
      <rgbColor rgb="FFD97706"/>
      <rgbColor rgb="FFEA580C"/>
      <rgbColor rgb="FF64748B"/>
      <rgbColor rgb="FF969696"/>
      <rgbColor rgb="FF1A3C5E"/>
      <rgbColor rgb="FF16A34A"/>
      <rgbColor rgb="FF0F172A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0" Type="http://schemas.openxmlformats.org/officeDocument/2006/relationships/worksheet" Target="worksheets/sheet10.xml"/><Relationship Id="rId19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[Medical_Store_Management (1).xlsx]Analysis!PivotTable2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rgbClr val="16365C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Sales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rgbClr val="16365C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16365C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16365C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16365C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16365C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21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600" b="1" i="0" u="none" strike="noStrike" kern="1200" baseline="0">
                  <a:solidFill>
                    <a:srgbClr val="16365C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Analysis!$B$1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1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rgbClr val="16365C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Analysis!$A$2:$A$6</c:f>
              <c:strCache>
                <c:ptCount val="4"/>
                <c:pt idx="0">
                  <c:v>Dec 2025</c:v>
                </c:pt>
                <c:pt idx="1">
                  <c:v>Feb 2026</c:v>
                </c:pt>
                <c:pt idx="2">
                  <c:v>Jan 2026</c:v>
                </c:pt>
                <c:pt idx="3">
                  <c:v>Mar 2026</c:v>
                </c:pt>
              </c:strCache>
            </c:strRef>
          </c:cat>
          <c:val>
            <c:numRef>
              <c:f>Analysis!$B$2:$B$6</c:f>
              <c:numCache>
                <c:formatCode>#,##0</c:formatCode>
                <c:ptCount val="4"/>
                <c:pt idx="0">
                  <c:v>106276</c:v>
                </c:pt>
                <c:pt idx="1">
                  <c:v>58172</c:v>
                </c:pt>
                <c:pt idx="2">
                  <c:v>89966</c:v>
                </c:pt>
                <c:pt idx="3">
                  <c:v>18375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598-4B4A-85E9-E2A8D1590B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06721799"/>
        <c:axId val="306738183"/>
      </c:lineChart>
      <c:catAx>
        <c:axId val="3067217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rgbClr val="16365C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6738183"/>
        <c:crosses val="autoZero"/>
        <c:auto val="1"/>
        <c:lblAlgn val="ctr"/>
        <c:lblOffset val="100"/>
        <c:noMultiLvlLbl val="0"/>
      </c:catAx>
      <c:valAx>
        <c:axId val="306738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16365C"/>
              </a:solidFill>
              <a:prstDash val="solid"/>
              <a:round/>
            </a:ln>
            <a:effectLst/>
          </c:spPr>
        </c:majorGridlines>
        <c:minorGridlines>
          <c:spPr>
            <a:ln w="9525" cap="flat" cmpd="sng" algn="ctr">
              <a:solidFill>
                <a:srgbClr val="16365C"/>
              </a:solidFill>
              <a:prstDash val="solid"/>
              <a:round/>
            </a:ln>
            <a:effectLst/>
          </c:spPr>
        </c:minorGridlines>
        <c:numFmt formatCode="#,##0" sourceLinked="1"/>
        <c:majorTickMark val="none"/>
        <c:minorTickMark val="none"/>
        <c:tickLblPos val="nextTo"/>
        <c:spPr>
          <a:solidFill>
            <a:srgbClr val="C5D9F1"/>
          </a:solidFill>
          <a:ln>
            <a:solidFill>
              <a:srgbClr val="16365C"/>
            </a:solidFill>
            <a:prstDash val="soli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rgbClr val="16365C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67217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C5D9F1"/>
    </a:solidFill>
    <a:ln w="38100" cap="flat" cmpd="sng" algn="ctr">
      <a:solidFill>
        <a:srgbClr val="000000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[Medical_Store_Management (1).xlsx]Analysis!PivotTable1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rgbClr val="16365C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Selling Medicines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rgbClr val="16365C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16365C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16365C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16365C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16365C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600" b="1" i="0" u="none" strike="noStrike" kern="1200" baseline="0">
                  <a:solidFill>
                    <a:srgbClr val="16365C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Analysis!$B$8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rgbClr val="16365C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1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Analysis!$A$9:$A$19</c:f>
              <c:strCache>
                <c:ptCount val="10"/>
                <c:pt idx="0">
                  <c:v>Ipratropium</c:v>
                </c:pt>
                <c:pt idx="1">
                  <c:v>Omega-3</c:v>
                </c:pt>
                <c:pt idx="2">
                  <c:v>Fluconazole 150mg</c:v>
                </c:pt>
                <c:pt idx="3">
                  <c:v>Ciprofloxacin 500mg</c:v>
                </c:pt>
                <c:pt idx="4">
                  <c:v>Azithromycin 250mg</c:v>
                </c:pt>
                <c:pt idx="5">
                  <c:v>Pseudoephedrine</c:v>
                </c:pt>
                <c:pt idx="6">
                  <c:v>Ketorolac 10mg</c:v>
                </c:pt>
                <c:pt idx="7">
                  <c:v>Ranitidine 150mg</c:v>
                </c:pt>
                <c:pt idx="8">
                  <c:v>Vitamin C 500mg</c:v>
                </c:pt>
                <c:pt idx="9">
                  <c:v>Augmentin 625mg</c:v>
                </c:pt>
              </c:strCache>
            </c:strRef>
          </c:cat>
          <c:val>
            <c:numRef>
              <c:f>Analysis!$B$9:$B$19</c:f>
              <c:numCache>
                <c:formatCode>General</c:formatCode>
                <c:ptCount val="10"/>
                <c:pt idx="0">
                  <c:v>68</c:v>
                </c:pt>
                <c:pt idx="1">
                  <c:v>70</c:v>
                </c:pt>
                <c:pt idx="2">
                  <c:v>85</c:v>
                </c:pt>
                <c:pt idx="3">
                  <c:v>88</c:v>
                </c:pt>
                <c:pt idx="4">
                  <c:v>93</c:v>
                </c:pt>
                <c:pt idx="5">
                  <c:v>96</c:v>
                </c:pt>
                <c:pt idx="6">
                  <c:v>104</c:v>
                </c:pt>
                <c:pt idx="7">
                  <c:v>110</c:v>
                </c:pt>
                <c:pt idx="8">
                  <c:v>116</c:v>
                </c:pt>
                <c:pt idx="9">
                  <c:v>135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65-4260-9DEE-A8B5CB19FC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61337863"/>
        <c:axId val="1234368007"/>
      </c:barChart>
      <c:catAx>
        <c:axId val="116133786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rgbClr val="16365C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4368007"/>
        <c:crosses val="autoZero"/>
        <c:auto val="1"/>
        <c:lblAlgn val="ctr"/>
        <c:lblOffset val="100"/>
        <c:noMultiLvlLbl val="0"/>
      </c:catAx>
      <c:valAx>
        <c:axId val="12343680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rgbClr val="16365C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13378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C5D9F1"/>
    </a:solidFill>
    <a:ln w="38100" cap="flat" cmpd="sng" algn="ctr">
      <a:solidFill>
        <a:srgbClr val="000000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[Medical_Store_Management (1).xlsx]Analysis!PivotTable5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rgbClr val="16365C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Cash vs Credit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rgbClr val="16365C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noFill/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000" b="1" i="0" u="none" strike="noStrike" kern="1200" baseline="0">
                  <a:solidFill>
                    <a:srgbClr val="0D0D0D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000" b="1" i="0" u="none" strike="noStrike" kern="1200" baseline="0">
                  <a:solidFill>
                    <a:srgbClr val="0D0D0D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5400">
            <a:noFill/>
          </a:ln>
          <a:effectLst/>
        </c:spPr>
      </c:pivotFmt>
      <c:pivotFmt>
        <c:idx val="3"/>
        <c:spPr>
          <a:solidFill>
            <a:schemeClr val="accent1"/>
          </a:solidFill>
          <a:ln w="25400">
            <a:noFill/>
          </a:ln>
          <a:effectLst/>
        </c:spPr>
      </c:pivotFmt>
      <c:pivotFmt>
        <c:idx val="4"/>
        <c:spPr>
          <a:solidFill>
            <a:schemeClr val="accent1"/>
          </a:solidFill>
          <a:ln w="25400">
            <a:noFill/>
          </a:ln>
          <a:effectLst/>
        </c:spPr>
      </c:pivotFmt>
      <c:pivotFmt>
        <c:idx val="5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000" b="1" i="0" u="none" strike="noStrike" kern="1200" baseline="0">
                  <a:solidFill>
                    <a:srgbClr val="0D0D0D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5400">
            <a:noFill/>
          </a:ln>
          <a:effectLst/>
        </c:spPr>
      </c:pivotFmt>
      <c:pivotFmt>
        <c:idx val="7"/>
        <c:spPr>
          <a:solidFill>
            <a:schemeClr val="accent1"/>
          </a:solidFill>
          <a:ln w="25400">
            <a:noFill/>
          </a:ln>
          <a:effectLst/>
        </c:spPr>
      </c:pivotFmt>
      <c:pivotFmt>
        <c:idx val="8"/>
        <c:spPr>
          <a:solidFill>
            <a:schemeClr val="accent1"/>
          </a:solidFill>
          <a:ln w="25400">
            <a:noFill/>
          </a:ln>
          <a:effectLst/>
        </c:spPr>
      </c:pivotFmt>
      <c:pivotFmt>
        <c:idx val="9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000" b="1" i="0" u="none" strike="noStrike" kern="1200" baseline="0">
                  <a:solidFill>
                    <a:srgbClr val="0D0D0D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5400">
            <a:noFill/>
          </a:ln>
          <a:effectLst/>
        </c:spPr>
      </c:pivotFmt>
      <c:pivotFmt>
        <c:idx val="11"/>
        <c:spPr>
          <a:solidFill>
            <a:schemeClr val="accent1"/>
          </a:solidFill>
          <a:ln w="25400">
            <a:noFill/>
          </a:ln>
          <a:effectLst/>
        </c:spPr>
      </c:pivotFmt>
      <c:pivotFmt>
        <c:idx val="12"/>
        <c:spPr>
          <a:solidFill>
            <a:schemeClr val="accent1"/>
          </a:solidFill>
          <a:ln w="25400">
            <a:noFill/>
          </a:ln>
          <a:effectLst/>
        </c:spPr>
      </c:pivotFmt>
      <c:pivotFmt>
        <c:idx val="13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000" b="1" i="0" u="none" strike="noStrike" kern="1200" baseline="0">
                  <a:solidFill>
                    <a:srgbClr val="FFFFFF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5400">
            <a:noFill/>
          </a:ln>
          <a:effectLst/>
        </c:spPr>
      </c:pivotFmt>
      <c:pivotFmt>
        <c:idx val="15"/>
        <c:spPr>
          <a:solidFill>
            <a:schemeClr val="accent1"/>
          </a:solidFill>
          <a:ln w="25400">
            <a:noFill/>
          </a:ln>
          <a:effectLst/>
        </c:spPr>
      </c:pivotFmt>
      <c:pivotFmt>
        <c:idx val="16"/>
        <c:spPr>
          <a:solidFill>
            <a:schemeClr val="accent1"/>
          </a:solidFill>
          <a:ln w="25400">
            <a:noFill/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Analysis!$B$21</c:f>
              <c:strCache>
                <c:ptCount val="1"/>
                <c:pt idx="0">
                  <c:v>Total</c:v>
                </c:pt>
              </c:strCache>
            </c:strRef>
          </c:tx>
          <c:spPr>
            <a:ln w="25400">
              <a:noFill/>
            </a:ln>
          </c:spPr>
          <c:dPt>
            <c:idx val="0"/>
            <c:bubble3D val="0"/>
            <c:spPr>
              <a:solidFill>
                <a:schemeClr val="accent1"/>
              </a:solidFill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9994-48FE-918E-1662E9135B6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9994-48FE-918E-1662E9135B6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9994-48FE-918E-1662E9135B6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rgbClr val="FFFFFF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Analysis!$A$22:$A$25</c:f>
              <c:strCache>
                <c:ptCount val="3"/>
                <c:pt idx="0">
                  <c:v>Cash</c:v>
                </c:pt>
                <c:pt idx="1">
                  <c:v>Credit</c:v>
                </c:pt>
                <c:pt idx="2">
                  <c:v>(blank)</c:v>
                </c:pt>
              </c:strCache>
            </c:strRef>
          </c:cat>
          <c:val>
            <c:numRef>
              <c:f>Analysis!$B$22:$B$25</c:f>
              <c:numCache>
                <c:formatCode>General</c:formatCode>
                <c:ptCount val="3"/>
                <c:pt idx="0">
                  <c:v>194186</c:v>
                </c:pt>
                <c:pt idx="1">
                  <c:v>78603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994-48FE-918E-1662E9135B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6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C5D9F1"/>
    </a:solidFill>
    <a:ln w="38100" cap="flat" cmpd="sng" algn="ctr">
      <a:solidFill>
        <a:srgbClr val="000000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[Medical_Store_Management (1).xlsx]Analysis!PivotTable6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rgbClr val="16365C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Inventory Risk Levels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rgbClr val="16365C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16365C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16365C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16365C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16365C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800" b="1" i="0" u="none" strike="noStrike" kern="1200" baseline="0">
                  <a:solidFill>
                    <a:srgbClr val="16365C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Analysis!$B$27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1" i="0" u="none" strike="noStrike" kern="1200" baseline="0">
                    <a:solidFill>
                      <a:srgbClr val="16365C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Analysis!$A$28:$A$32</c:f>
              <c:strCache>
                <c:ptCount val="4"/>
                <c:pt idx="0">
                  <c:v>CRITICAL</c:v>
                </c:pt>
                <c:pt idx="1">
                  <c:v>HIGH</c:v>
                </c:pt>
                <c:pt idx="2">
                  <c:v>MEDIUM</c:v>
                </c:pt>
                <c:pt idx="3">
                  <c:v>OK</c:v>
                </c:pt>
              </c:strCache>
            </c:strRef>
          </c:cat>
          <c:val>
            <c:numRef>
              <c:f>Analysis!$B$28:$B$32</c:f>
              <c:numCache>
                <c:formatCode>General</c:formatCode>
                <c:ptCount val="4"/>
                <c:pt idx="0">
                  <c:v>18</c:v>
                </c:pt>
                <c:pt idx="1">
                  <c:v>1</c:v>
                </c:pt>
                <c:pt idx="2">
                  <c:v>8</c:v>
                </c:pt>
                <c:pt idx="3">
                  <c:v>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E1-423C-87F6-A103291C55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159330311"/>
        <c:axId val="1159348743"/>
      </c:barChart>
      <c:catAx>
        <c:axId val="11593303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rgbClr val="16365C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rgbClr val="16365C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9348743"/>
        <c:crosses val="autoZero"/>
        <c:auto val="1"/>
        <c:lblAlgn val="ctr"/>
        <c:lblOffset val="100"/>
        <c:noMultiLvlLbl val="0"/>
      </c:catAx>
      <c:valAx>
        <c:axId val="11593487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16365C"/>
              </a:solidFill>
              <a:prstDash val="solid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rgbClr val="16365C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93303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rgbClr val="16365C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C5D9F1"/>
    </a:solidFill>
    <a:ln w="38100" cap="flat" cmpd="sng" algn="ctr">
      <a:solidFill>
        <a:srgbClr val="000000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28575</xdr:rowOff>
    </xdr:from>
    <xdr:to>
      <xdr:col>11</xdr:col>
      <xdr:colOff>333375</xdr:colOff>
      <xdr:row>29</xdr:row>
      <xdr:rowOff>228600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8F71878-022C-4FCE-8EFF-3CB2AD130D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361950</xdr:colOff>
      <xdr:row>9</xdr:row>
      <xdr:rowOff>19050</xdr:rowOff>
    </xdr:from>
    <xdr:to>
      <xdr:col>20</xdr:col>
      <xdr:colOff>914400</xdr:colOff>
      <xdr:row>29</xdr:row>
      <xdr:rowOff>209550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CD515E1-B994-4EC7-A67A-1163527F6E7C}"/>
            </a:ext>
            <a:ext uri="{147F2762-F138-4A5C-976F-8EAC2B608ADB}">
              <a16:predDERef xmlns:a16="http://schemas.microsoft.com/office/drawing/2014/main" pred="{68F71878-022C-4FCE-8EFF-3CB2AD130D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29</xdr:row>
      <xdr:rowOff>200025</xdr:rowOff>
    </xdr:from>
    <xdr:to>
      <xdr:col>11</xdr:col>
      <xdr:colOff>342900</xdr:colOff>
      <xdr:row>55</xdr:row>
      <xdr:rowOff>133350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C7DBDA4-647A-43E9-9E9E-C36E666B3573}"/>
            </a:ext>
            <a:ext uri="{147F2762-F138-4A5C-976F-8EAC2B608ADB}">
              <a16:predDERef xmlns:a16="http://schemas.microsoft.com/office/drawing/2014/main" pred="{0CD515E1-B994-4EC7-A67A-1163527F6E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371475</xdr:colOff>
      <xdr:row>29</xdr:row>
      <xdr:rowOff>190500</xdr:rowOff>
    </xdr:from>
    <xdr:to>
      <xdr:col>21</xdr:col>
      <xdr:colOff>9525</xdr:colOff>
      <xdr:row>55</xdr:row>
      <xdr:rowOff>142875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76F60D9-3B25-43BF-9E8E-788698BA30AF}"/>
            </a:ext>
            <a:ext uri="{147F2762-F138-4A5C-976F-8EAC2B608ADB}">
              <a16:predDERef xmlns:a16="http://schemas.microsoft.com/office/drawing/2014/main" pred="{DC7DBDA4-647A-43E9-9E9E-C36E666B35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86.71695347222" createdVersion="8" refreshedVersion="8" minRefreshableVersion="3" recordCount="96" xr:uid="{24B58DDE-DE43-41D3-BCDD-11786D7E72E1}">
  <cacheSource type="worksheet">
    <worksheetSource name="Table4"/>
  </cacheSource>
  <cacheFields count="15">
    <cacheField name="Sale_ID" numFmtId="0">
      <sharedItems/>
    </cacheField>
    <cacheField name="Month" numFmtId="0">
      <sharedItems count="4">
        <s v="Mar 2026"/>
        <s v="Feb 2026"/>
        <s v="Jan 2026"/>
        <s v="Dec 2025"/>
      </sharedItems>
    </cacheField>
    <cacheField name="Date" numFmtId="14">
      <sharedItems containsSemiMixedTypes="0" containsNonDate="0" containsDate="1" containsString="0" minDate="2025-12-07T00:00:00" maxDate="2026-03-06T00:00:00"/>
    </cacheField>
    <cacheField name="Med_ID" numFmtId="0">
      <sharedItems/>
    </cacheField>
    <cacheField name="Medicine_Name" numFmtId="0">
      <sharedItems/>
    </cacheField>
    <cacheField name="Customer_Name" numFmtId="0">
      <sharedItems/>
    </cacheField>
    <cacheField name="Quantity" numFmtId="0">
      <sharedItems containsSemiMixedTypes="0" containsString="0" containsNumber="1" containsInteger="1" minValue="1" maxValue="50"/>
    </cacheField>
    <cacheField name="Sale_Price_PKR" numFmtId="3">
      <sharedItems containsSemiMixedTypes="0" containsString="0" containsNumber="1" containsInteger="1" minValue="15" maxValue="385"/>
    </cacheField>
    <cacheField name="Total_Revenue_PKR" numFmtId="3">
      <sharedItems containsSemiMixedTypes="0" containsString="0" containsNumber="1" containsInteger="1" minValue="135" maxValue="12705"/>
    </cacheField>
    <cacheField name="Cost_Price_PKR" numFmtId="3">
      <sharedItems containsSemiMixedTypes="0" containsString="0" containsNumber="1" containsInteger="1" minValue="7" maxValue="190"/>
    </cacheField>
    <cacheField name="Total_Cost_PKR" numFmtId="3">
      <sharedItems containsSemiMixedTypes="0" containsString="0" containsNumber="1" containsInteger="1" minValue="63" maxValue="6270"/>
    </cacheField>
    <cacheField name="Gross_Profit_PKR" numFmtId="3">
      <sharedItems containsSemiMixedTypes="0" containsString="0" containsNumber="1" containsInteger="1" minValue="72" maxValue="6435"/>
    </cacheField>
    <cacheField name="Payment_Type" numFmtId="0">
      <sharedItems/>
    </cacheField>
    <cacheField name="Amount_Paid" numFmtId="3">
      <sharedItems containsSemiMixedTypes="0" containsString="0" containsNumber="1" containsInteger="1" minValue="0" maxValue="12705"/>
    </cacheField>
    <cacheField name="Balance_Due" numFmtId="3">
      <sharedItems containsSemiMixedTypes="0" containsString="0" containsNumber="1" containsInteger="1" minValue="0" maxValue="940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87.899161458336" createdVersion="8" refreshedVersion="8" minRefreshableVersion="3" recordCount="97" xr:uid="{E9C09912-A9E2-4A2E-9377-3F5B36B374A3}">
  <cacheSource type="worksheet">
    <worksheetSource ref="A1:O1048576" sheet="Sales_Entry"/>
  </cacheSource>
  <cacheFields count="15">
    <cacheField name="Sale_ID" numFmtId="0">
      <sharedItems containsBlank="1"/>
    </cacheField>
    <cacheField name="Month" numFmtId="0">
      <sharedItems containsBlank="1"/>
    </cacheField>
    <cacheField name="Date" numFmtId="14">
      <sharedItems containsNonDate="0" containsDate="1" containsString="0" containsBlank="1" minDate="2025-12-07T00:00:00" maxDate="2026-03-06T00:00:00"/>
    </cacheField>
    <cacheField name="Med_ID" numFmtId="0">
      <sharedItems containsBlank="1"/>
    </cacheField>
    <cacheField name="Medicine_Name" numFmtId="0">
      <sharedItems containsBlank="1" count="57">
        <s v="Chlorpheniramine 4mg"/>
        <s v="Piroxicam 20mg"/>
        <s v="Metformin 1000mg"/>
        <s v="Glimepiride 2mg"/>
        <s v="Ranitidine 150mg"/>
        <s v="Omega-3"/>
        <s v="Aluminum Hydroxide"/>
        <s v="Omeprazole 20mg"/>
        <s v="Mefenamic Acid 500mg"/>
        <s v="Metformin 500mg"/>
        <s v="Vitamin E 400IU"/>
        <s v="Mupirocin Ointment"/>
        <s v="Ketorolac 10mg"/>
        <s v="Diclofenac 50mg"/>
        <s v="Vitamin C 500mg"/>
        <s v="Augmentin 625mg"/>
        <s v="Ipratropium"/>
        <s v="Ibuprofen 400mg"/>
        <s v="Terbinafine Cream"/>
        <s v="Valsartan 80mg"/>
        <s v="Azithromycin 250mg"/>
        <s v="Levofloxacin 500mg"/>
        <s v="Clobetasol Cream"/>
        <s v="Vitamin B Complex"/>
        <s v="Clotrimazole Cream"/>
        <s v="Codeine Linctus"/>
        <s v="Iron+Folic Acid"/>
        <s v="Ciprofloxacin 500mg"/>
        <s v="Bromhexine 8mg"/>
        <s v="Multivitamin"/>
        <s v="Dettol 500ml"/>
        <s v="Bilastine 20mg"/>
        <s v="Loratadine 10mg"/>
        <s v="Fluconazole 150mg"/>
        <s v="Pseudoephedrine"/>
        <s v="Mometasone Cream"/>
        <s v="Ebastine 10mg"/>
        <s v="Nystatin Ointment"/>
        <s v="Telmisartan 40mg"/>
        <s v="Sucralfate 1g"/>
        <s v="Domperidone 10mg"/>
        <s v="Naproxen 500mg"/>
        <s v="Empagliflozin 10mg"/>
        <s v="Salicylic Acid"/>
        <s v="Nitrofurantoin 100mg"/>
        <s v="Atenolol 50mg"/>
        <s v="Guaifenesin Syrup"/>
        <s v="Chlorhexidine"/>
        <s v="Esomeprazole 40mg"/>
        <s v="Vitamin D3 1000IU"/>
        <s v="Hydrocortisone Cream"/>
        <s v="Nebivolol 5mg"/>
        <s v="Sitagliptin 100mg"/>
        <s v="Levosalbutamol"/>
        <s v="Hydrochlorothiazide"/>
        <s v="Betamethasone Cream"/>
        <m/>
      </sharedItems>
    </cacheField>
    <cacheField name="Customer_Name" numFmtId="0">
      <sharedItems containsBlank="1"/>
    </cacheField>
    <cacheField name="Quantity" numFmtId="0">
      <sharedItems containsString="0" containsBlank="1" containsNumber="1" containsInteger="1" minValue="1" maxValue="50" count="40">
        <n v="10"/>
        <n v="7"/>
        <n v="3"/>
        <n v="6"/>
        <n v="15"/>
        <n v="38"/>
        <n v="9"/>
        <n v="37"/>
        <n v="36"/>
        <n v="32"/>
        <n v="30"/>
        <n v="50"/>
        <n v="8"/>
        <n v="23"/>
        <n v="45"/>
        <n v="46"/>
        <n v="4"/>
        <n v="16"/>
        <n v="29"/>
        <n v="25"/>
        <n v="17"/>
        <n v="24"/>
        <n v="33"/>
        <n v="44"/>
        <n v="5"/>
        <n v="39"/>
        <n v="35"/>
        <n v="34"/>
        <n v="48"/>
        <n v="2"/>
        <n v="40"/>
        <n v="49"/>
        <n v="22"/>
        <n v="27"/>
        <n v="1"/>
        <n v="19"/>
        <n v="12"/>
        <n v="41"/>
        <n v="20"/>
        <m/>
      </sharedItems>
    </cacheField>
    <cacheField name="Sale_Price_PKR" numFmtId="0">
      <sharedItems containsString="0" containsBlank="1" containsNumber="1" containsInteger="1" minValue="15" maxValue="385"/>
    </cacheField>
    <cacheField name="Total_Revenue_PKR" numFmtId="0">
      <sharedItems containsString="0" containsBlank="1" containsNumber="1" containsInteger="1" minValue="135" maxValue="12705"/>
    </cacheField>
    <cacheField name="Cost_Price_PKR" numFmtId="0">
      <sharedItems containsString="0" containsBlank="1" containsNumber="1" containsInteger="1" minValue="7" maxValue="190"/>
    </cacheField>
    <cacheField name="Total_Cost_PKR" numFmtId="0">
      <sharedItems containsString="0" containsBlank="1" containsNumber="1" containsInteger="1" minValue="63" maxValue="6270"/>
    </cacheField>
    <cacheField name="Gross_Profit_PKR" numFmtId="0">
      <sharedItems containsString="0" containsBlank="1" containsNumber="1" containsInteger="1" minValue="72" maxValue="6435"/>
    </cacheField>
    <cacheField name="Payment_Type" numFmtId="0">
      <sharedItems containsBlank="1" count="3">
        <s v="Cash"/>
        <s v="Credit"/>
        <m/>
      </sharedItems>
    </cacheField>
    <cacheField name="Amount_Paid" numFmtId="0">
      <sharedItems containsString="0" containsBlank="1" containsNumber="1" containsInteger="1" minValue="0" maxValue="12705"/>
    </cacheField>
    <cacheField name="Balance_Due" numFmtId="0">
      <sharedItems containsString="0" containsBlank="1" containsNumber="1" containsInteger="1" minValue="0" maxValue="940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87.915890509263" createdVersion="8" refreshedVersion="8" minRefreshableVersion="3" recordCount="96" xr:uid="{210E852E-D7B1-4F42-B85F-6DEA8FDE3432}">
  <cacheSource type="worksheet">
    <worksheetSource name="Table6"/>
  </cacheSource>
  <cacheFields count="8">
    <cacheField name="Med_ID" numFmtId="0">
      <sharedItems/>
    </cacheField>
    <cacheField name="Medicine_Name" numFmtId="0">
      <sharedItems/>
    </cacheField>
    <cacheField name="Category" numFmtId="0">
      <sharedItems/>
    </cacheField>
    <cacheField name="Current_Stock" numFmtId="0">
      <sharedItems containsSemiMixedTypes="0" containsString="0" containsNumber="1" containsInteger="1" minValue="-6" maxValue="1322"/>
    </cacheField>
    <cacheField name="Reorder_Level" numFmtId="0">
      <sharedItems containsSemiMixedTypes="0" containsString="0" containsNumber="1" containsInteger="1" minValue="20" maxValue="200"/>
    </cacheField>
    <cacheField name="Shortage" numFmtId="0">
      <sharedItems containsSemiMixedTypes="0" containsString="0" containsNumber="1" containsInteger="1" minValue="0" maxValue="200"/>
    </cacheField>
    <cacheField name="Suggested_Order" numFmtId="0">
      <sharedItems containsSemiMixedTypes="0" containsString="0" containsNumber="1" containsInteger="1" minValue="0" maxValue="200"/>
    </cacheField>
    <cacheField name="Priority" numFmtId="0">
      <sharedItems count="4">
        <s v="OK"/>
        <s v="MEDIUM"/>
        <s v="CRITICAL"/>
        <s v="HIGH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6">
  <r>
    <s v="SAL0001"/>
    <x v="0"/>
    <d v="2026-03-05T00:00:00"/>
    <s v="MED042"/>
    <s v="Chlorpheniramine 4mg"/>
    <s v="Usman Ali"/>
    <n v="10"/>
    <n v="15"/>
    <n v="150"/>
    <n v="7"/>
    <n v="70"/>
    <n v="80"/>
    <s v="Cash"/>
    <n v="150"/>
    <n v="0"/>
  </r>
  <r>
    <s v="SAL0002"/>
    <x v="1"/>
    <d v="2026-02-25T00:00:00"/>
    <s v="MED069"/>
    <s v="Piroxicam 20mg"/>
    <s v="Tariq Mahmood"/>
    <n v="7"/>
    <n v="55"/>
    <n v="385"/>
    <n v="26"/>
    <n v="182"/>
    <n v="203"/>
    <s v="Cash"/>
    <n v="385"/>
    <n v="0"/>
  </r>
  <r>
    <s v="SAL0003"/>
    <x v="2"/>
    <d v="2026-01-10T00:00:00"/>
    <s v="MED028"/>
    <s v="Metformin 1000mg"/>
    <s v="Usman Ali"/>
    <n v="3"/>
    <n v="45"/>
    <n v="135"/>
    <n v="21"/>
    <n v="63"/>
    <n v="72"/>
    <s v="Cash"/>
    <n v="135"/>
    <n v="0"/>
  </r>
  <r>
    <s v="SAL0004"/>
    <x v="1"/>
    <d v="2026-02-25T00:00:00"/>
    <s v="MED031"/>
    <s v="Glimepiride 2mg"/>
    <s v="Shahid Raza"/>
    <n v="6"/>
    <n v="65"/>
    <n v="390"/>
    <n v="31"/>
    <n v="186"/>
    <n v="204"/>
    <s v="Cash"/>
    <n v="390"/>
    <n v="0"/>
  </r>
  <r>
    <s v="SAL0005"/>
    <x v="3"/>
    <d v="2025-12-20T00:00:00"/>
    <s v="MED016"/>
    <s v="Ranitidine 150mg"/>
    <s v="Fatima Malik"/>
    <n v="15"/>
    <n v="38"/>
    <n v="570"/>
    <n v="18"/>
    <n v="270"/>
    <n v="300"/>
    <s v="Cash"/>
    <n v="570"/>
    <n v="0"/>
  </r>
  <r>
    <s v="SAL0006"/>
    <x v="1"/>
    <d v="2026-02-04T00:00:00"/>
    <s v="MED074"/>
    <s v="Omega-3"/>
    <s v="Fatima Malik"/>
    <n v="38"/>
    <n v="185"/>
    <n v="7030"/>
    <n v="90"/>
    <n v="3420"/>
    <n v="3610"/>
    <s v="Cash"/>
    <n v="7030"/>
    <n v="0"/>
  </r>
  <r>
    <s v="SAL0007"/>
    <x v="1"/>
    <d v="2026-02-14T00:00:00"/>
    <s v="MED072"/>
    <s v="Aluminum Hydroxide"/>
    <s v="Alina Khan"/>
    <n v="9"/>
    <n v="65"/>
    <n v="585"/>
    <n v="31"/>
    <n v="279"/>
    <n v="306"/>
    <s v="Cash"/>
    <n v="585"/>
    <n v="0"/>
  </r>
  <r>
    <s v="SAL0008"/>
    <x v="3"/>
    <d v="2025-12-07T00:00:00"/>
    <s v="MED016"/>
    <s v="Ranitidine 150mg"/>
    <s v="Sara Rehman"/>
    <n v="37"/>
    <n v="38"/>
    <n v="1406"/>
    <n v="18"/>
    <n v="666"/>
    <n v="740"/>
    <s v="Cash"/>
    <n v="1406"/>
    <n v="0"/>
  </r>
  <r>
    <s v="SAL0009"/>
    <x v="1"/>
    <d v="2026-02-08T00:00:00"/>
    <s v="MED014"/>
    <s v="Omeprazole 20mg"/>
    <s v="Sana Butt"/>
    <n v="38"/>
    <n v="65"/>
    <n v="2470"/>
    <n v="31"/>
    <n v="1178"/>
    <n v="1292"/>
    <s v="Cash"/>
    <n v="2470"/>
    <n v="0"/>
  </r>
  <r>
    <s v="SAL0010"/>
    <x v="3"/>
    <d v="2025-12-22T00:00:00"/>
    <s v="MED013"/>
    <s v="Mefenamic Acid 500mg"/>
    <s v="Lubna Farooq"/>
    <n v="36"/>
    <n v="55"/>
    <n v="1980"/>
    <n v="26"/>
    <n v="936"/>
    <n v="1044"/>
    <s v="Credit"/>
    <n v="0"/>
    <n v="1980"/>
  </r>
  <r>
    <s v="SAL0011"/>
    <x v="2"/>
    <d v="2026-01-09T00:00:00"/>
    <s v="MED027"/>
    <s v="Metformin 500mg"/>
    <s v="Asif Mirza"/>
    <n v="32"/>
    <n v="28"/>
    <n v="896"/>
    <n v="13"/>
    <n v="416"/>
    <n v="480"/>
    <s v="Credit"/>
    <n v="448"/>
    <n v="448"/>
  </r>
  <r>
    <s v="SAL0012"/>
    <x v="1"/>
    <d v="2026-02-01T00:00:00"/>
    <s v="MED075"/>
    <s v="Vitamin E 400IU"/>
    <s v="Sara Rehman"/>
    <n v="30"/>
    <n v="95"/>
    <n v="2850"/>
    <n v="46"/>
    <n v="1380"/>
    <n v="1470"/>
    <s v="Cash"/>
    <n v="2850"/>
    <n v="0"/>
  </r>
  <r>
    <s v="SAL0013"/>
    <x v="3"/>
    <d v="2025-12-21T00:00:00"/>
    <s v="MED090"/>
    <s v="Mupirocin Ointment"/>
    <s v="Hina Shah"/>
    <n v="50"/>
    <n v="165"/>
    <n v="8250"/>
    <n v="80"/>
    <n v="4000"/>
    <n v="4250"/>
    <s v="Cash"/>
    <n v="8250"/>
    <n v="0"/>
  </r>
  <r>
    <s v="SAL0014"/>
    <x v="2"/>
    <d v="2026-01-06T00:00:00"/>
    <s v="MED068"/>
    <s v="Ketorolac 10mg"/>
    <s v="Lubna Farooq"/>
    <n v="32"/>
    <n v="85"/>
    <n v="2720"/>
    <n v="41"/>
    <n v="1312"/>
    <n v="1408"/>
    <s v="Credit"/>
    <n v="1360"/>
    <n v="1360"/>
  </r>
  <r>
    <s v="SAL0015"/>
    <x v="1"/>
    <d v="2026-02-11T00:00:00"/>
    <s v="MED010"/>
    <s v="Diclofenac 50mg"/>
    <s v="Kamran Iqbal"/>
    <n v="8"/>
    <n v="42"/>
    <n v="336"/>
    <n v="20"/>
    <n v="160"/>
    <n v="176"/>
    <s v="Cash"/>
    <n v="336"/>
    <n v="0"/>
  </r>
  <r>
    <s v="SAL0016"/>
    <x v="3"/>
    <d v="2025-12-09T00:00:00"/>
    <s v="MED020"/>
    <s v="Vitamin C 500mg"/>
    <s v="Usman Ali"/>
    <n v="32"/>
    <n v="35"/>
    <n v="1120"/>
    <n v="16"/>
    <n v="512"/>
    <n v="608"/>
    <s v="Cash"/>
    <n v="1120"/>
    <n v="0"/>
  </r>
  <r>
    <s v="SAL0017"/>
    <x v="2"/>
    <d v="2026-01-23T00:00:00"/>
    <s v="MED002"/>
    <s v="Augmentin 625mg"/>
    <s v="Kamran Iqbal"/>
    <n v="36"/>
    <n v="220"/>
    <n v="7920"/>
    <n v="110"/>
    <n v="3960"/>
    <n v="3960"/>
    <s v="Cash"/>
    <n v="7920"/>
    <n v="0"/>
  </r>
  <r>
    <s v="SAL0018"/>
    <x v="3"/>
    <d v="2025-12-20T00:00:00"/>
    <s v="MED089"/>
    <s v="Ipratropium"/>
    <s v="Asif Mirza"/>
    <n v="23"/>
    <n v="285"/>
    <n v="6555"/>
    <n v="140"/>
    <n v="3220"/>
    <n v="3335"/>
    <s v="Cash"/>
    <n v="6555"/>
    <n v="0"/>
  </r>
  <r>
    <s v="SAL0019"/>
    <x v="2"/>
    <d v="2026-01-03T00:00:00"/>
    <s v="MED009"/>
    <s v="Ibuprofen 400mg"/>
    <s v="Fatima Malik"/>
    <n v="6"/>
    <n v="28"/>
    <n v="168"/>
    <n v="13"/>
    <n v="78"/>
    <n v="90"/>
    <s v="Credit"/>
    <n v="0"/>
    <n v="168"/>
  </r>
  <r>
    <s v="SAL0020"/>
    <x v="3"/>
    <d v="2025-12-21T00:00:00"/>
    <s v="MED094"/>
    <s v="Terbinafine Cream"/>
    <s v="Asif Mirza"/>
    <n v="45"/>
    <n v="145"/>
    <n v="6525"/>
    <n v="70"/>
    <n v="3150"/>
    <n v="3375"/>
    <s v="Cash"/>
    <n v="6525"/>
    <n v="0"/>
  </r>
  <r>
    <s v="SAL0021"/>
    <x v="3"/>
    <d v="2025-12-09T00:00:00"/>
    <s v="MED037"/>
    <s v="Valsartan 80mg"/>
    <s v="Sana Butt"/>
    <n v="46"/>
    <n v="85"/>
    <n v="3910"/>
    <n v="41"/>
    <n v="1886"/>
    <n v="2024"/>
    <s v="Cash"/>
    <n v="3910"/>
    <n v="0"/>
  </r>
  <r>
    <s v="SAL0022"/>
    <x v="3"/>
    <d v="2025-12-16T00:00:00"/>
    <s v="MED003"/>
    <s v="Azithromycin 250mg"/>
    <s v="Ayesha Siddiqui"/>
    <n v="30"/>
    <n v="180"/>
    <n v="5400"/>
    <n v="88"/>
    <n v="2640"/>
    <n v="2760"/>
    <s v="Cash"/>
    <n v="5400"/>
    <n v="0"/>
  </r>
  <r>
    <s v="SAL0023"/>
    <x v="2"/>
    <d v="2026-01-27T00:00:00"/>
    <s v="MED064"/>
    <s v="Levofloxacin 500mg"/>
    <s v="Muhammad Hassan"/>
    <n v="4"/>
    <n v="185"/>
    <n v="740"/>
    <n v="90"/>
    <n v="360"/>
    <n v="380"/>
    <s v="Cash"/>
    <n v="740"/>
    <n v="0"/>
  </r>
  <r>
    <s v="SAL0024"/>
    <x v="3"/>
    <d v="2025-12-31T00:00:00"/>
    <s v="MED095"/>
    <s v="Clobetasol Cream"/>
    <s v="Usman Ali"/>
    <n v="16"/>
    <n v="155"/>
    <n v="2480"/>
    <n v="75"/>
    <n v="1200"/>
    <n v="1280"/>
    <s v="Cash"/>
    <n v="2480"/>
    <n v="0"/>
  </r>
  <r>
    <s v="SAL0025"/>
    <x v="2"/>
    <d v="2026-01-28T00:00:00"/>
    <s v="MED022"/>
    <s v="Vitamin B Complex"/>
    <s v="Muhammad Hassan"/>
    <n v="29"/>
    <n v="45"/>
    <n v="1305"/>
    <n v="21"/>
    <n v="609"/>
    <n v="696"/>
    <s v="Cash"/>
    <n v="1305"/>
    <n v="0"/>
  </r>
  <r>
    <s v="SAL0026"/>
    <x v="2"/>
    <d v="2026-01-10T00:00:00"/>
    <s v="MED056"/>
    <s v="Clotrimazole Cream"/>
    <s v="Sana Butt"/>
    <n v="36"/>
    <n v="85"/>
    <n v="3060"/>
    <n v="41"/>
    <n v="1476"/>
    <n v="1584"/>
    <s v="Cash"/>
    <n v="3060"/>
    <n v="0"/>
  </r>
  <r>
    <s v="SAL0027"/>
    <x v="1"/>
    <d v="2026-02-13T00:00:00"/>
    <s v="MED088"/>
    <s v="Codeine Linctus"/>
    <s v="Sara Rehman"/>
    <n v="25"/>
    <n v="145"/>
    <n v="3625"/>
    <n v="70"/>
    <n v="1750"/>
    <n v="1875"/>
    <s v="Credit"/>
    <n v="0"/>
    <n v="3625"/>
  </r>
  <r>
    <s v="SAL0028"/>
    <x v="0"/>
    <d v="2026-03-03T00:00:00"/>
    <s v="MED020"/>
    <s v="Vitamin C 500mg"/>
    <s v="Shahid Raza"/>
    <n v="15"/>
    <n v="35"/>
    <n v="525"/>
    <n v="16"/>
    <n v="240"/>
    <n v="285"/>
    <s v="Credit"/>
    <n v="262"/>
    <n v="263"/>
  </r>
  <r>
    <s v="SAL0029"/>
    <x v="1"/>
    <d v="2026-02-14T00:00:00"/>
    <s v="MED024"/>
    <s v="Iron+Folic Acid"/>
    <s v="Rabia Nawaz"/>
    <n v="17"/>
    <n v="28"/>
    <n v="476"/>
    <n v="13"/>
    <n v="221"/>
    <n v="255"/>
    <s v="Cash"/>
    <n v="476"/>
    <n v="0"/>
  </r>
  <r>
    <s v="SAL0030"/>
    <x v="2"/>
    <d v="2026-01-23T00:00:00"/>
    <s v="MED069"/>
    <s v="Piroxicam 20mg"/>
    <s v="Muhammad Hassan"/>
    <n v="24"/>
    <n v="55"/>
    <n v="1320"/>
    <n v="26"/>
    <n v="624"/>
    <n v="696"/>
    <s v="Cash"/>
    <n v="1320"/>
    <n v="0"/>
  </r>
  <r>
    <s v="SAL0031"/>
    <x v="3"/>
    <d v="2025-12-11T00:00:00"/>
    <s v="MED089"/>
    <s v="Ipratropium"/>
    <s v="Asif Mirza"/>
    <n v="33"/>
    <n v="285"/>
    <n v="9405"/>
    <n v="140"/>
    <n v="4620"/>
    <n v="4785"/>
    <s v="Credit"/>
    <n v="0"/>
    <n v="9405"/>
  </r>
  <r>
    <s v="SAL0032"/>
    <x v="2"/>
    <d v="2026-01-13T00:00:00"/>
    <s v="MED004"/>
    <s v="Ciprofloxacin 500mg"/>
    <s v="Imran Chaudhry"/>
    <n v="44"/>
    <n v="95"/>
    <n v="4180"/>
    <n v="46"/>
    <n v="2024"/>
    <n v="2156"/>
    <s v="Credit"/>
    <n v="2090"/>
    <n v="2090"/>
  </r>
  <r>
    <s v="SAL0033"/>
    <x v="2"/>
    <d v="2026-01-12T00:00:00"/>
    <s v="MED051"/>
    <s v="Bromhexine 8mg"/>
    <s v="Fatima Malik"/>
    <n v="7"/>
    <n v="35"/>
    <n v="245"/>
    <n v="17"/>
    <n v="119"/>
    <n v="126"/>
    <s v="Cash"/>
    <n v="245"/>
    <n v="0"/>
  </r>
  <r>
    <s v="SAL0034"/>
    <x v="2"/>
    <d v="2026-01-07T00:00:00"/>
    <s v="MED025"/>
    <s v="Multivitamin"/>
    <s v="Ayesha Siddiqui"/>
    <n v="5"/>
    <n v="85"/>
    <n v="425"/>
    <n v="41"/>
    <n v="205"/>
    <n v="220"/>
    <s v="Credit"/>
    <n v="0"/>
    <n v="425"/>
  </r>
  <r>
    <s v="SAL0035"/>
    <x v="0"/>
    <d v="2026-03-04T00:00:00"/>
    <s v="MED044"/>
    <s v="Dettol 500ml"/>
    <s v="Shahid Raza"/>
    <n v="39"/>
    <n v="185"/>
    <n v="7215"/>
    <n v="90"/>
    <n v="3510"/>
    <n v="3705"/>
    <s v="Cash"/>
    <n v="7215"/>
    <n v="0"/>
  </r>
  <r>
    <s v="SAL0036"/>
    <x v="2"/>
    <d v="2026-01-17T00:00:00"/>
    <s v="MED020"/>
    <s v="Vitamin C 500mg"/>
    <s v="Lubna Farooq"/>
    <n v="35"/>
    <n v="35"/>
    <n v="1225"/>
    <n v="16"/>
    <n v="560"/>
    <n v="665"/>
    <s v="Cash"/>
    <n v="1225"/>
    <n v="0"/>
  </r>
  <r>
    <s v="SAL0037"/>
    <x v="3"/>
    <d v="2025-12-16T00:00:00"/>
    <s v="MED004"/>
    <s v="Ciprofloxacin 500mg"/>
    <s v="Muhammad Hassan"/>
    <n v="5"/>
    <n v="95"/>
    <n v="475"/>
    <n v="46"/>
    <n v="230"/>
    <n v="245"/>
    <s v="Credit"/>
    <n v="237"/>
    <n v="238"/>
  </r>
  <r>
    <s v="SAL0038"/>
    <x v="3"/>
    <d v="2025-12-17T00:00:00"/>
    <s v="MED082"/>
    <s v="Bilastine 20mg"/>
    <s v="Mehwish Qureshi"/>
    <n v="17"/>
    <n v="95"/>
    <n v="1615"/>
    <n v="46"/>
    <n v="782"/>
    <n v="833"/>
    <s v="Credit"/>
    <n v="807"/>
    <n v="808"/>
  </r>
  <r>
    <s v="SAL0039"/>
    <x v="2"/>
    <d v="2026-01-04T00:00:00"/>
    <s v="MED016"/>
    <s v="Ranitidine 150mg"/>
    <s v="Mehwish Qureshi"/>
    <n v="8"/>
    <n v="38"/>
    <n v="304"/>
    <n v="18"/>
    <n v="144"/>
    <n v="160"/>
    <s v="Credit"/>
    <n v="152"/>
    <n v="152"/>
  </r>
  <r>
    <s v="SAL0040"/>
    <x v="2"/>
    <d v="2026-01-20T00:00:00"/>
    <s v="MED040"/>
    <s v="Loratadine 10mg"/>
    <s v="Zubair Ahmed"/>
    <n v="6"/>
    <n v="28"/>
    <n v="168"/>
    <n v="13"/>
    <n v="78"/>
    <n v="90"/>
    <s v="Cash"/>
    <n v="168"/>
    <n v="0"/>
  </r>
  <r>
    <s v="SAL0041"/>
    <x v="0"/>
    <d v="2026-03-02T00:00:00"/>
    <s v="MED062"/>
    <s v="Fluconazole 150mg"/>
    <s v="Bilal Tariq"/>
    <n v="45"/>
    <n v="165"/>
    <n v="7425"/>
    <n v="80"/>
    <n v="3600"/>
    <n v="3825"/>
    <s v="Cash"/>
    <n v="7425"/>
    <n v="0"/>
  </r>
  <r>
    <s v="SAL0042"/>
    <x v="3"/>
    <d v="2025-12-25T00:00:00"/>
    <s v="MED068"/>
    <s v="Ketorolac 10mg"/>
    <s v="Ahmed Khan"/>
    <n v="24"/>
    <n v="85"/>
    <n v="2040"/>
    <n v="41"/>
    <n v="984"/>
    <n v="1056"/>
    <s v="Cash"/>
    <n v="2040"/>
    <n v="0"/>
  </r>
  <r>
    <s v="SAL0043"/>
    <x v="3"/>
    <d v="2025-12-12T00:00:00"/>
    <s v="MED002"/>
    <s v="Augmentin 625mg"/>
    <s v="Usman Ali"/>
    <n v="34"/>
    <n v="220"/>
    <n v="7480"/>
    <n v="110"/>
    <n v="3740"/>
    <n v="3740"/>
    <s v="Cash"/>
    <n v="7480"/>
    <n v="0"/>
  </r>
  <r>
    <s v="SAL0044"/>
    <x v="1"/>
    <d v="2026-02-11T00:00:00"/>
    <s v="MED090"/>
    <s v="Mupirocin Ointment"/>
    <s v="Sana Butt"/>
    <n v="17"/>
    <n v="165"/>
    <n v="2805"/>
    <n v="80"/>
    <n v="1360"/>
    <n v="1445"/>
    <s v="Cash"/>
    <n v="2805"/>
    <n v="0"/>
  </r>
  <r>
    <s v="SAL0045"/>
    <x v="3"/>
    <d v="2025-12-30T00:00:00"/>
    <s v="MED003"/>
    <s v="Azithromycin 250mg"/>
    <s v="Kamran Iqbal"/>
    <n v="15"/>
    <n v="180"/>
    <n v="2700"/>
    <n v="88"/>
    <n v="1320"/>
    <n v="1380"/>
    <s v="Cash"/>
    <n v="2700"/>
    <n v="0"/>
  </r>
  <r>
    <s v="SAL0046"/>
    <x v="1"/>
    <d v="2026-02-08T00:00:00"/>
    <s v="MED082"/>
    <s v="Bilastine 20mg"/>
    <s v="Nadia Hussain"/>
    <n v="15"/>
    <n v="95"/>
    <n v="1425"/>
    <n v="46"/>
    <n v="690"/>
    <n v="735"/>
    <s v="Cash"/>
    <n v="1425"/>
    <n v="0"/>
  </r>
  <r>
    <s v="SAL0047"/>
    <x v="1"/>
    <d v="2026-02-07T00:00:00"/>
    <s v="MED052"/>
    <s v="Pseudoephedrine"/>
    <s v="Sana Butt"/>
    <n v="48"/>
    <n v="45"/>
    <n v="2160"/>
    <n v="21"/>
    <n v="1008"/>
    <n v="1152"/>
    <s v="Credit"/>
    <n v="1080"/>
    <n v="1080"/>
  </r>
  <r>
    <s v="SAL0048"/>
    <x v="2"/>
    <d v="2026-01-28T00:00:00"/>
    <s v="MED094"/>
    <s v="Terbinafine Cream"/>
    <s v="Zubair Ahmed"/>
    <n v="2"/>
    <n v="145"/>
    <n v="290"/>
    <n v="70"/>
    <n v="140"/>
    <n v="150"/>
    <s v="Credit"/>
    <n v="145"/>
    <n v="145"/>
  </r>
  <r>
    <s v="SAL0049"/>
    <x v="2"/>
    <d v="2026-01-19T00:00:00"/>
    <s v="MED025"/>
    <s v="Multivitamin"/>
    <s v="Asif Mirza"/>
    <n v="45"/>
    <n v="85"/>
    <n v="3825"/>
    <n v="41"/>
    <n v="1845"/>
    <n v="1980"/>
    <s v="Cash"/>
    <n v="3825"/>
    <n v="0"/>
  </r>
  <r>
    <s v="SAL0050"/>
    <x v="2"/>
    <d v="2026-01-17T00:00:00"/>
    <s v="MED093"/>
    <s v="Mometasone Cream"/>
    <s v="Nadia Hussain"/>
    <n v="23"/>
    <n v="185"/>
    <n v="4255"/>
    <n v="90"/>
    <n v="2070"/>
    <n v="2185"/>
    <s v="Credit"/>
    <n v="0"/>
    <n v="4255"/>
  </r>
  <r>
    <s v="SAL0051"/>
    <x v="2"/>
    <d v="2026-01-20T00:00:00"/>
    <s v="MED014"/>
    <s v="Omeprazole 20mg"/>
    <s v="Bilal Tariq"/>
    <n v="15"/>
    <n v="65"/>
    <n v="975"/>
    <n v="31"/>
    <n v="465"/>
    <n v="510"/>
    <s v="Cash"/>
    <n v="975"/>
    <n v="0"/>
  </r>
  <r>
    <s v="SAL0052"/>
    <x v="3"/>
    <d v="2025-12-16T00:00:00"/>
    <s v="MED062"/>
    <s v="Fluconazole 150mg"/>
    <s v="Mehwish Qureshi"/>
    <n v="40"/>
    <n v="165"/>
    <n v="6600"/>
    <n v="80"/>
    <n v="3200"/>
    <n v="3400"/>
    <s v="Credit"/>
    <n v="0"/>
    <n v="6600"/>
  </r>
  <r>
    <s v="SAL0053"/>
    <x v="1"/>
    <d v="2026-02-22T00:00:00"/>
    <s v="MED084"/>
    <s v="Ebastine 10mg"/>
    <s v="Imran Chaudhry"/>
    <n v="23"/>
    <n v="65"/>
    <n v="1495"/>
    <n v="31"/>
    <n v="713"/>
    <n v="782"/>
    <s v="Credit"/>
    <n v="0"/>
    <n v="1495"/>
  </r>
  <r>
    <s v="SAL0054"/>
    <x v="1"/>
    <d v="2026-02-10T00:00:00"/>
    <s v="MED092"/>
    <s v="Nystatin Ointment"/>
    <s v="Rabia Nawaz"/>
    <n v="49"/>
    <n v="125"/>
    <n v="6125"/>
    <n v="61"/>
    <n v="2989"/>
    <n v="3136"/>
    <s v="Cash"/>
    <n v="6125"/>
    <n v="0"/>
  </r>
  <r>
    <s v="SAL0055"/>
    <x v="2"/>
    <d v="2026-01-13T00:00:00"/>
    <s v="MED082"/>
    <s v="Bilastine 20mg"/>
    <s v="Asif Mirza"/>
    <n v="22"/>
    <n v="95"/>
    <n v="2090"/>
    <n v="46"/>
    <n v="1012"/>
    <n v="1078"/>
    <s v="Cash"/>
    <n v="2090"/>
    <n v="0"/>
  </r>
  <r>
    <s v="SAL0056"/>
    <x v="1"/>
    <d v="2026-02-12T00:00:00"/>
    <s v="MED052"/>
    <s v="Pseudoephedrine"/>
    <s v="Muhammad Hassan"/>
    <n v="48"/>
    <n v="45"/>
    <n v="2160"/>
    <n v="21"/>
    <n v="1008"/>
    <n v="1152"/>
    <s v="Credit"/>
    <n v="0"/>
    <n v="2160"/>
  </r>
  <r>
    <s v="SAL0057"/>
    <x v="2"/>
    <d v="2026-01-04T00:00:00"/>
    <s v="MED004"/>
    <s v="Ciprofloxacin 500mg"/>
    <s v="Muhammad Hassan"/>
    <n v="10"/>
    <n v="95"/>
    <n v="950"/>
    <n v="46"/>
    <n v="460"/>
    <n v="490"/>
    <s v="Cash"/>
    <n v="950"/>
    <n v="0"/>
  </r>
  <r>
    <s v="SAL0058"/>
    <x v="3"/>
    <d v="2025-12-10T00:00:00"/>
    <s v="MED079"/>
    <s v="Telmisartan 40mg"/>
    <s v="Muhammad Hassan"/>
    <n v="39"/>
    <n v="75"/>
    <n v="2925"/>
    <n v="36"/>
    <n v="1404"/>
    <n v="1521"/>
    <s v="Credit"/>
    <n v="1462"/>
    <n v="1463"/>
  </r>
  <r>
    <s v="SAL0059"/>
    <x v="0"/>
    <d v="2026-03-03T00:00:00"/>
    <s v="MED071"/>
    <s v="Sucralfate 1g"/>
    <s v="Ayesha Siddiqui"/>
    <n v="36"/>
    <n v="85"/>
    <n v="3060"/>
    <n v="41"/>
    <n v="1476"/>
    <n v="1584"/>
    <s v="Cash"/>
    <n v="3060"/>
    <n v="0"/>
  </r>
  <r>
    <s v="SAL0060"/>
    <x v="2"/>
    <d v="2026-01-08T00:00:00"/>
    <s v="MED068"/>
    <s v="Ketorolac 10mg"/>
    <s v="Bilal Tariq"/>
    <n v="48"/>
    <n v="85"/>
    <n v="4080"/>
    <n v="41"/>
    <n v="1968"/>
    <n v="2112"/>
    <s v="Credit"/>
    <n v="0"/>
    <n v="4080"/>
  </r>
  <r>
    <s v="SAL0061"/>
    <x v="3"/>
    <d v="2025-12-30T00:00:00"/>
    <s v="MED004"/>
    <s v="Ciprofloxacin 500mg"/>
    <s v="Nadia Hussain"/>
    <n v="17"/>
    <n v="95"/>
    <n v="1615"/>
    <n v="46"/>
    <n v="782"/>
    <n v="833"/>
    <s v="Cash"/>
    <n v="1615"/>
    <n v="0"/>
  </r>
  <r>
    <s v="SAL0062"/>
    <x v="3"/>
    <d v="2025-12-25T00:00:00"/>
    <s v="MED002"/>
    <s v="Augmentin 625mg"/>
    <s v="Rabia Nawaz"/>
    <n v="38"/>
    <n v="220"/>
    <n v="8360"/>
    <n v="110"/>
    <n v="4180"/>
    <n v="4180"/>
    <s v="Cash"/>
    <n v="8360"/>
    <n v="0"/>
  </r>
  <r>
    <s v="SAL0063"/>
    <x v="2"/>
    <d v="2026-01-18T00:00:00"/>
    <s v="MED017"/>
    <s v="Domperidone 10mg"/>
    <s v="Shahid Raza"/>
    <n v="4"/>
    <n v="45"/>
    <n v="180"/>
    <n v="21"/>
    <n v="84"/>
    <n v="96"/>
    <s v="Credit"/>
    <n v="90"/>
    <n v="90"/>
  </r>
  <r>
    <s v="SAL0064"/>
    <x v="3"/>
    <d v="2025-12-30T00:00:00"/>
    <s v="MED067"/>
    <s v="Naproxen 500mg"/>
    <s v="Alina Khan"/>
    <n v="27"/>
    <n v="65"/>
    <n v="1755"/>
    <n v="31"/>
    <n v="837"/>
    <n v="918"/>
    <s v="Credit"/>
    <n v="0"/>
    <n v="1755"/>
  </r>
  <r>
    <s v="SAL0065"/>
    <x v="2"/>
    <d v="2026-01-07T00:00:00"/>
    <s v="MED020"/>
    <s v="Vitamin C 500mg"/>
    <s v="Sara Rehman"/>
    <n v="34"/>
    <n v="35"/>
    <n v="1190"/>
    <n v="16"/>
    <n v="544"/>
    <n v="646"/>
    <s v="Cash"/>
    <n v="1190"/>
    <n v="0"/>
  </r>
  <r>
    <s v="SAL0066"/>
    <x v="1"/>
    <d v="2026-02-13T00:00:00"/>
    <s v="MED078"/>
    <s v="Empagliflozin 10mg"/>
    <s v="Muhammad Hassan"/>
    <n v="1"/>
    <n v="385"/>
    <n v="385"/>
    <n v="190"/>
    <n v="190"/>
    <n v="195"/>
    <s v="Credit"/>
    <n v="0"/>
    <n v="385"/>
  </r>
  <r>
    <s v="SAL0067"/>
    <x v="3"/>
    <d v="2025-12-23T00:00:00"/>
    <s v="MED061"/>
    <s v="Salicylic Acid"/>
    <s v="Kamran Iqbal"/>
    <n v="40"/>
    <n v="95"/>
    <n v="3800"/>
    <n v="46"/>
    <n v="1840"/>
    <n v="1960"/>
    <s v="Credit"/>
    <n v="0"/>
    <n v="3800"/>
  </r>
  <r>
    <s v="SAL0068"/>
    <x v="2"/>
    <d v="2026-01-02T00:00:00"/>
    <s v="MED088"/>
    <s v="Codeine Linctus"/>
    <s v="Ayesha Siddiqui"/>
    <n v="34"/>
    <n v="145"/>
    <n v="4930"/>
    <n v="70"/>
    <n v="2380"/>
    <n v="2550"/>
    <s v="Cash"/>
    <n v="4930"/>
    <n v="0"/>
  </r>
  <r>
    <s v="SAL0069"/>
    <x v="2"/>
    <d v="2026-01-28T00:00:00"/>
    <s v="MED072"/>
    <s v="Aluminum Hydroxide"/>
    <s v="Fatima Malik"/>
    <n v="4"/>
    <n v="65"/>
    <n v="260"/>
    <n v="31"/>
    <n v="124"/>
    <n v="136"/>
    <s v="Cash"/>
    <n v="260"/>
    <n v="0"/>
  </r>
  <r>
    <s v="SAL0070"/>
    <x v="3"/>
    <d v="2025-12-23T00:00:00"/>
    <s v="MED003"/>
    <s v="Azithromycin 250mg"/>
    <s v="Ahmed Khan"/>
    <n v="7"/>
    <n v="180"/>
    <n v="1260"/>
    <n v="88"/>
    <n v="616"/>
    <n v="644"/>
    <s v="Cash"/>
    <n v="1260"/>
    <n v="0"/>
  </r>
  <r>
    <s v="SAL0071"/>
    <x v="3"/>
    <d v="2025-12-16T00:00:00"/>
    <s v="MED002"/>
    <s v="Augmentin 625mg"/>
    <s v="Tariq Mahmood"/>
    <n v="5"/>
    <n v="220"/>
    <n v="1100"/>
    <n v="110"/>
    <n v="550"/>
    <n v="550"/>
    <s v="Cash"/>
    <n v="1100"/>
    <n v="0"/>
  </r>
  <r>
    <s v="SAL0072"/>
    <x v="2"/>
    <d v="2026-01-28T00:00:00"/>
    <s v="MED078"/>
    <s v="Empagliflozin 10mg"/>
    <s v="Asif Mirza"/>
    <n v="33"/>
    <n v="385"/>
    <n v="12705"/>
    <n v="190"/>
    <n v="6270"/>
    <n v="6435"/>
    <s v="Cash"/>
    <n v="12705"/>
    <n v="0"/>
  </r>
  <r>
    <s v="SAL0073"/>
    <x v="3"/>
    <d v="2025-12-30T00:00:00"/>
    <s v="MED066"/>
    <s v="Nitrofurantoin 100mg"/>
    <s v="Tariq Mahmood"/>
    <n v="35"/>
    <n v="125"/>
    <n v="4375"/>
    <n v="61"/>
    <n v="2135"/>
    <n v="2240"/>
    <s v="Credit"/>
    <n v="0"/>
    <n v="4375"/>
  </r>
  <r>
    <s v="SAL0074"/>
    <x v="1"/>
    <d v="2026-02-07T00:00:00"/>
    <s v="MED034"/>
    <s v="Atenolol 50mg"/>
    <s v="Muhammad Hassan"/>
    <n v="36"/>
    <n v="25"/>
    <n v="900"/>
    <n v="12"/>
    <n v="432"/>
    <n v="468"/>
    <s v="Credit"/>
    <n v="450"/>
    <n v="450"/>
  </r>
  <r>
    <s v="SAL0075"/>
    <x v="2"/>
    <d v="2026-01-23T00:00:00"/>
    <s v="MED054"/>
    <s v="Guaifenesin Syrup"/>
    <s v="Usman Ali"/>
    <n v="8"/>
    <n v="75"/>
    <n v="600"/>
    <n v="36"/>
    <n v="288"/>
    <n v="312"/>
    <s v="Cash"/>
    <n v="600"/>
    <n v="0"/>
  </r>
  <r>
    <s v="SAL0076"/>
    <x v="1"/>
    <d v="2026-02-05T00:00:00"/>
    <s v="MED086"/>
    <s v="Chlorhexidine"/>
    <s v="Hina Shah"/>
    <n v="16"/>
    <n v="125"/>
    <n v="2000"/>
    <n v="61"/>
    <n v="976"/>
    <n v="1024"/>
    <s v="Cash"/>
    <n v="2000"/>
    <n v="0"/>
  </r>
  <r>
    <s v="SAL0077"/>
    <x v="3"/>
    <d v="2025-12-12T00:00:00"/>
    <s v="MED016"/>
    <s v="Ranitidine 150mg"/>
    <s v="Sana Butt"/>
    <n v="50"/>
    <n v="38"/>
    <n v="1900"/>
    <n v="18"/>
    <n v="900"/>
    <n v="1000"/>
    <s v="Cash"/>
    <n v="1900"/>
    <n v="0"/>
  </r>
  <r>
    <s v="SAL0078"/>
    <x v="2"/>
    <d v="2026-01-04T00:00:00"/>
    <s v="MED019"/>
    <s v="Esomeprazole 40mg"/>
    <s v="Ayesha Siddiqui"/>
    <n v="17"/>
    <n v="120"/>
    <n v="2040"/>
    <n v="58"/>
    <n v="986"/>
    <n v="1054"/>
    <s v="Credit"/>
    <n v="0"/>
    <n v="2040"/>
  </r>
  <r>
    <s v="SAL0079"/>
    <x v="3"/>
    <d v="2025-12-09T00:00:00"/>
    <s v="MED051"/>
    <s v="Bromhexine 8mg"/>
    <s v="Nadia Hussain"/>
    <n v="32"/>
    <n v="35"/>
    <n v="1120"/>
    <n v="17"/>
    <n v="544"/>
    <n v="576"/>
    <s v="Cash"/>
    <n v="1120"/>
    <n v="0"/>
  </r>
  <r>
    <s v="SAL0080"/>
    <x v="3"/>
    <d v="2025-12-29T00:00:00"/>
    <s v="MED021"/>
    <s v="Vitamin D3 1000IU"/>
    <s v="Imran Chaudhry"/>
    <n v="46"/>
    <n v="65"/>
    <n v="2990"/>
    <n v="31"/>
    <n v="1426"/>
    <n v="1564"/>
    <s v="Cash"/>
    <n v="2990"/>
    <n v="0"/>
  </r>
  <r>
    <s v="SAL0081"/>
    <x v="2"/>
    <d v="2026-01-23T00:00:00"/>
    <s v="MED044"/>
    <s v="Dettol 500ml"/>
    <s v="Usman Ali"/>
    <n v="27"/>
    <n v="185"/>
    <n v="4995"/>
    <n v="90"/>
    <n v="2430"/>
    <n v="2565"/>
    <s v="Cash"/>
    <n v="4995"/>
    <n v="0"/>
  </r>
  <r>
    <s v="SAL0082"/>
    <x v="3"/>
    <d v="2025-12-24T00:00:00"/>
    <s v="MED093"/>
    <s v="Mometasone Cream"/>
    <s v="Asif Mirza"/>
    <n v="24"/>
    <n v="185"/>
    <n v="4440"/>
    <n v="90"/>
    <n v="2160"/>
    <n v="2280"/>
    <s v="Cash"/>
    <n v="4440"/>
    <n v="0"/>
  </r>
  <r>
    <s v="SAL0083"/>
    <x v="2"/>
    <d v="2026-01-21T00:00:00"/>
    <s v="MED057"/>
    <s v="Hydrocortisone Cream"/>
    <s v="Tariq Mahmood"/>
    <n v="46"/>
    <n v="75"/>
    <n v="3450"/>
    <n v="36"/>
    <n v="1656"/>
    <n v="1794"/>
    <s v="Cash"/>
    <n v="3450"/>
    <n v="0"/>
  </r>
  <r>
    <s v="SAL0084"/>
    <x v="1"/>
    <d v="2026-02-24T00:00:00"/>
    <s v="MED080"/>
    <s v="Nebivolol 5mg"/>
    <s v="Ayesha Siddiqui"/>
    <n v="19"/>
    <n v="125"/>
    <n v="2375"/>
    <n v="61"/>
    <n v="1159"/>
    <n v="1216"/>
    <s v="Cash"/>
    <n v="2375"/>
    <n v="0"/>
  </r>
  <r>
    <s v="SAL0085"/>
    <x v="2"/>
    <d v="2026-01-29T00:00:00"/>
    <s v="MED030"/>
    <s v="Sitagliptin 100mg"/>
    <s v="Fatima Malik"/>
    <n v="7"/>
    <n v="285"/>
    <n v="1995"/>
    <n v="140"/>
    <n v="980"/>
    <n v="1015"/>
    <s v="Cash"/>
    <n v="1995"/>
    <n v="0"/>
  </r>
  <r>
    <s v="SAL0086"/>
    <x v="1"/>
    <d v="2026-02-16T00:00:00"/>
    <s v="MED004"/>
    <s v="Ciprofloxacin 500mg"/>
    <s v="Rabia Nawaz"/>
    <n v="12"/>
    <n v="95"/>
    <n v="1140"/>
    <n v="46"/>
    <n v="552"/>
    <n v="588"/>
    <s v="Cash"/>
    <n v="1140"/>
    <n v="0"/>
  </r>
  <r>
    <s v="SAL0087"/>
    <x v="3"/>
    <d v="2025-12-26T00:00:00"/>
    <s v="MED087"/>
    <s v="Levosalbutamol"/>
    <s v="Tariq Mahmood"/>
    <n v="17"/>
    <n v="125"/>
    <n v="2125"/>
    <n v="61"/>
    <n v="1037"/>
    <n v="1088"/>
    <s v="Cash"/>
    <n v="2125"/>
    <n v="0"/>
  </r>
  <r>
    <s v="SAL0088"/>
    <x v="1"/>
    <d v="2026-02-21T00:00:00"/>
    <s v="MED074"/>
    <s v="Omega-3"/>
    <s v="Fatima Malik"/>
    <n v="32"/>
    <n v="185"/>
    <n v="5920"/>
    <n v="90"/>
    <n v="2880"/>
    <n v="3040"/>
    <s v="Credit"/>
    <n v="2960"/>
    <n v="2960"/>
  </r>
  <r>
    <s v="SAL0089"/>
    <x v="1"/>
    <d v="2026-02-23T00:00:00"/>
    <s v="MED089"/>
    <s v="Ipratropium"/>
    <s v="Zubair Ahmed"/>
    <n v="12"/>
    <n v="285"/>
    <n v="3420"/>
    <n v="140"/>
    <n v="1680"/>
    <n v="1740"/>
    <s v="Cash"/>
    <n v="3420"/>
    <n v="0"/>
  </r>
  <r>
    <s v="SAL0090"/>
    <x v="2"/>
    <d v="2026-01-30T00:00:00"/>
    <s v="MED003"/>
    <s v="Azithromycin 250mg"/>
    <s v="Usman Ali"/>
    <n v="41"/>
    <n v="180"/>
    <n v="7380"/>
    <n v="88"/>
    <n v="3608"/>
    <n v="3772"/>
    <s v="Cash"/>
    <n v="7380"/>
    <n v="0"/>
  </r>
  <r>
    <s v="SAL0091"/>
    <x v="1"/>
    <d v="2026-02-17T00:00:00"/>
    <s v="MED078"/>
    <s v="Empagliflozin 10mg"/>
    <s v="Asif Mirza"/>
    <n v="15"/>
    <n v="385"/>
    <n v="5775"/>
    <n v="190"/>
    <n v="2850"/>
    <n v="2925"/>
    <s v="Cash"/>
    <n v="5775"/>
    <n v="0"/>
  </r>
  <r>
    <s v="SAL0092"/>
    <x v="2"/>
    <d v="2026-01-10T00:00:00"/>
    <s v="MED002"/>
    <s v="Augmentin 625mg"/>
    <s v="Lubna Farooq"/>
    <n v="22"/>
    <n v="220"/>
    <n v="4840"/>
    <n v="110"/>
    <n v="2420"/>
    <n v="2420"/>
    <s v="Credit"/>
    <n v="2420"/>
    <n v="2420"/>
  </r>
  <r>
    <s v="SAL0093"/>
    <x v="1"/>
    <d v="2026-02-02T00:00:00"/>
    <s v="MED017"/>
    <s v="Domperidone 10mg"/>
    <s v="Ayesha Siddiqui"/>
    <n v="3"/>
    <n v="45"/>
    <n v="135"/>
    <n v="21"/>
    <n v="63"/>
    <n v="72"/>
    <s v="Cash"/>
    <n v="135"/>
    <n v="0"/>
  </r>
  <r>
    <s v="SAL0094"/>
    <x v="1"/>
    <d v="2026-02-07T00:00:00"/>
    <s v="MED021"/>
    <s v="Vitamin D3 1000IU"/>
    <s v="Hina Shah"/>
    <n v="17"/>
    <n v="65"/>
    <n v="1105"/>
    <n v="31"/>
    <n v="527"/>
    <n v="578"/>
    <s v="Cash"/>
    <n v="1105"/>
    <n v="0"/>
  </r>
  <r>
    <s v="SAL0095"/>
    <x v="1"/>
    <d v="2026-02-06T00:00:00"/>
    <s v="MED081"/>
    <s v="Hydrochlorothiazide"/>
    <s v="Hina Shah"/>
    <n v="20"/>
    <n v="35"/>
    <n v="700"/>
    <n v="17"/>
    <n v="340"/>
    <n v="360"/>
    <s v="Cash"/>
    <n v="700"/>
    <n v="0"/>
  </r>
  <r>
    <s v="SAL0096"/>
    <x v="2"/>
    <d v="2026-01-29T00:00:00"/>
    <s v="MED058"/>
    <s v="Betamethasone Cream"/>
    <s v="Ahmed Khan"/>
    <n v="33"/>
    <n v="125"/>
    <n v="4125"/>
    <n v="61"/>
    <n v="2013"/>
    <n v="2112"/>
    <s v="Credit"/>
    <n v="2062"/>
    <n v="206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7">
  <r>
    <s v="SAL0001"/>
    <s v="Mar 2026"/>
    <d v="2026-03-05T00:00:00"/>
    <s v="MED042"/>
    <x v="0"/>
    <s v="Usman Ali"/>
    <x v="0"/>
    <n v="15"/>
    <n v="150"/>
    <n v="7"/>
    <n v="70"/>
    <n v="80"/>
    <x v="0"/>
    <n v="150"/>
    <n v="0"/>
  </r>
  <r>
    <s v="SAL0002"/>
    <s v="Feb 2026"/>
    <d v="2026-02-25T00:00:00"/>
    <s v="MED069"/>
    <x v="1"/>
    <s v="Tariq Mahmood"/>
    <x v="1"/>
    <n v="55"/>
    <n v="385"/>
    <n v="26"/>
    <n v="182"/>
    <n v="203"/>
    <x v="0"/>
    <n v="385"/>
    <n v="0"/>
  </r>
  <r>
    <s v="SAL0003"/>
    <s v="Jan 2026"/>
    <d v="2026-01-10T00:00:00"/>
    <s v="MED028"/>
    <x v="2"/>
    <s v="Usman Ali"/>
    <x v="2"/>
    <n v="45"/>
    <n v="135"/>
    <n v="21"/>
    <n v="63"/>
    <n v="72"/>
    <x v="0"/>
    <n v="135"/>
    <n v="0"/>
  </r>
  <r>
    <s v="SAL0004"/>
    <s v="Feb 2026"/>
    <d v="2026-02-25T00:00:00"/>
    <s v="MED031"/>
    <x v="3"/>
    <s v="Shahid Raza"/>
    <x v="3"/>
    <n v="65"/>
    <n v="390"/>
    <n v="31"/>
    <n v="186"/>
    <n v="204"/>
    <x v="0"/>
    <n v="390"/>
    <n v="0"/>
  </r>
  <r>
    <s v="SAL0005"/>
    <s v="Dec 2025"/>
    <d v="2025-12-20T00:00:00"/>
    <s v="MED016"/>
    <x v="4"/>
    <s v="Fatima Malik"/>
    <x v="4"/>
    <n v="38"/>
    <n v="570"/>
    <n v="18"/>
    <n v="270"/>
    <n v="300"/>
    <x v="0"/>
    <n v="570"/>
    <n v="0"/>
  </r>
  <r>
    <s v="SAL0006"/>
    <s v="Feb 2026"/>
    <d v="2026-02-04T00:00:00"/>
    <s v="MED074"/>
    <x v="5"/>
    <s v="Fatima Malik"/>
    <x v="5"/>
    <n v="185"/>
    <n v="7030"/>
    <n v="90"/>
    <n v="3420"/>
    <n v="3610"/>
    <x v="0"/>
    <n v="7030"/>
    <n v="0"/>
  </r>
  <r>
    <s v="SAL0007"/>
    <s v="Feb 2026"/>
    <d v="2026-02-14T00:00:00"/>
    <s v="MED072"/>
    <x v="6"/>
    <s v="Alina Khan"/>
    <x v="6"/>
    <n v="65"/>
    <n v="585"/>
    <n v="31"/>
    <n v="279"/>
    <n v="306"/>
    <x v="0"/>
    <n v="585"/>
    <n v="0"/>
  </r>
  <r>
    <s v="SAL0008"/>
    <s v="Dec 2025"/>
    <d v="2025-12-07T00:00:00"/>
    <s v="MED016"/>
    <x v="4"/>
    <s v="Sara Rehman"/>
    <x v="7"/>
    <n v="38"/>
    <n v="1406"/>
    <n v="18"/>
    <n v="666"/>
    <n v="740"/>
    <x v="0"/>
    <n v="1406"/>
    <n v="0"/>
  </r>
  <r>
    <s v="SAL0009"/>
    <s v="Feb 2026"/>
    <d v="2026-02-08T00:00:00"/>
    <s v="MED014"/>
    <x v="7"/>
    <s v="Sana Butt"/>
    <x v="5"/>
    <n v="65"/>
    <n v="2470"/>
    <n v="31"/>
    <n v="1178"/>
    <n v="1292"/>
    <x v="0"/>
    <n v="2470"/>
    <n v="0"/>
  </r>
  <r>
    <s v="SAL0010"/>
    <s v="Dec 2025"/>
    <d v="2025-12-22T00:00:00"/>
    <s v="MED013"/>
    <x v="8"/>
    <s v="Lubna Farooq"/>
    <x v="8"/>
    <n v="55"/>
    <n v="1980"/>
    <n v="26"/>
    <n v="936"/>
    <n v="1044"/>
    <x v="1"/>
    <n v="0"/>
    <n v="1980"/>
  </r>
  <r>
    <s v="SAL0011"/>
    <s v="Jan 2026"/>
    <d v="2026-01-09T00:00:00"/>
    <s v="MED027"/>
    <x v="9"/>
    <s v="Asif Mirza"/>
    <x v="9"/>
    <n v="28"/>
    <n v="896"/>
    <n v="13"/>
    <n v="416"/>
    <n v="480"/>
    <x v="1"/>
    <n v="448"/>
    <n v="448"/>
  </r>
  <r>
    <s v="SAL0012"/>
    <s v="Feb 2026"/>
    <d v="2026-02-01T00:00:00"/>
    <s v="MED075"/>
    <x v="10"/>
    <s v="Sara Rehman"/>
    <x v="10"/>
    <n v="95"/>
    <n v="2850"/>
    <n v="46"/>
    <n v="1380"/>
    <n v="1470"/>
    <x v="0"/>
    <n v="2850"/>
    <n v="0"/>
  </r>
  <r>
    <s v="SAL0013"/>
    <s v="Dec 2025"/>
    <d v="2025-12-21T00:00:00"/>
    <s v="MED090"/>
    <x v="11"/>
    <s v="Hina Shah"/>
    <x v="11"/>
    <n v="165"/>
    <n v="8250"/>
    <n v="80"/>
    <n v="4000"/>
    <n v="4250"/>
    <x v="0"/>
    <n v="8250"/>
    <n v="0"/>
  </r>
  <r>
    <s v="SAL0014"/>
    <s v="Jan 2026"/>
    <d v="2026-01-06T00:00:00"/>
    <s v="MED068"/>
    <x v="12"/>
    <s v="Lubna Farooq"/>
    <x v="9"/>
    <n v="85"/>
    <n v="2720"/>
    <n v="41"/>
    <n v="1312"/>
    <n v="1408"/>
    <x v="1"/>
    <n v="1360"/>
    <n v="1360"/>
  </r>
  <r>
    <s v="SAL0015"/>
    <s v="Feb 2026"/>
    <d v="2026-02-11T00:00:00"/>
    <s v="MED010"/>
    <x v="13"/>
    <s v="Kamran Iqbal"/>
    <x v="12"/>
    <n v="42"/>
    <n v="336"/>
    <n v="20"/>
    <n v="160"/>
    <n v="176"/>
    <x v="0"/>
    <n v="336"/>
    <n v="0"/>
  </r>
  <r>
    <s v="SAL0016"/>
    <s v="Dec 2025"/>
    <d v="2025-12-09T00:00:00"/>
    <s v="MED020"/>
    <x v="14"/>
    <s v="Usman Ali"/>
    <x v="9"/>
    <n v="35"/>
    <n v="1120"/>
    <n v="16"/>
    <n v="512"/>
    <n v="608"/>
    <x v="0"/>
    <n v="1120"/>
    <n v="0"/>
  </r>
  <r>
    <s v="SAL0017"/>
    <s v="Jan 2026"/>
    <d v="2026-01-23T00:00:00"/>
    <s v="MED002"/>
    <x v="15"/>
    <s v="Kamran Iqbal"/>
    <x v="8"/>
    <n v="220"/>
    <n v="7920"/>
    <n v="110"/>
    <n v="3960"/>
    <n v="3960"/>
    <x v="0"/>
    <n v="7920"/>
    <n v="0"/>
  </r>
  <r>
    <s v="SAL0018"/>
    <s v="Dec 2025"/>
    <d v="2025-12-20T00:00:00"/>
    <s v="MED089"/>
    <x v="16"/>
    <s v="Asif Mirza"/>
    <x v="13"/>
    <n v="285"/>
    <n v="6555"/>
    <n v="140"/>
    <n v="3220"/>
    <n v="3335"/>
    <x v="0"/>
    <n v="6555"/>
    <n v="0"/>
  </r>
  <r>
    <s v="SAL0019"/>
    <s v="Jan 2026"/>
    <d v="2026-01-03T00:00:00"/>
    <s v="MED009"/>
    <x v="17"/>
    <s v="Fatima Malik"/>
    <x v="3"/>
    <n v="28"/>
    <n v="168"/>
    <n v="13"/>
    <n v="78"/>
    <n v="90"/>
    <x v="1"/>
    <n v="0"/>
    <n v="168"/>
  </r>
  <r>
    <s v="SAL0020"/>
    <s v="Dec 2025"/>
    <d v="2025-12-21T00:00:00"/>
    <s v="MED094"/>
    <x v="18"/>
    <s v="Asif Mirza"/>
    <x v="14"/>
    <n v="145"/>
    <n v="6525"/>
    <n v="70"/>
    <n v="3150"/>
    <n v="3375"/>
    <x v="0"/>
    <n v="6525"/>
    <n v="0"/>
  </r>
  <r>
    <s v="SAL0021"/>
    <s v="Dec 2025"/>
    <d v="2025-12-09T00:00:00"/>
    <s v="MED037"/>
    <x v="19"/>
    <s v="Sana Butt"/>
    <x v="15"/>
    <n v="85"/>
    <n v="3910"/>
    <n v="41"/>
    <n v="1886"/>
    <n v="2024"/>
    <x v="0"/>
    <n v="3910"/>
    <n v="0"/>
  </r>
  <r>
    <s v="SAL0022"/>
    <s v="Dec 2025"/>
    <d v="2025-12-16T00:00:00"/>
    <s v="MED003"/>
    <x v="20"/>
    <s v="Ayesha Siddiqui"/>
    <x v="10"/>
    <n v="180"/>
    <n v="5400"/>
    <n v="88"/>
    <n v="2640"/>
    <n v="2760"/>
    <x v="0"/>
    <n v="5400"/>
    <n v="0"/>
  </r>
  <r>
    <s v="SAL0023"/>
    <s v="Jan 2026"/>
    <d v="2026-01-27T00:00:00"/>
    <s v="MED064"/>
    <x v="21"/>
    <s v="Muhammad Hassan"/>
    <x v="16"/>
    <n v="185"/>
    <n v="740"/>
    <n v="90"/>
    <n v="360"/>
    <n v="380"/>
    <x v="0"/>
    <n v="740"/>
    <n v="0"/>
  </r>
  <r>
    <s v="SAL0024"/>
    <s v="Dec 2025"/>
    <d v="2025-12-31T00:00:00"/>
    <s v="MED095"/>
    <x v="22"/>
    <s v="Usman Ali"/>
    <x v="17"/>
    <n v="155"/>
    <n v="2480"/>
    <n v="75"/>
    <n v="1200"/>
    <n v="1280"/>
    <x v="0"/>
    <n v="2480"/>
    <n v="0"/>
  </r>
  <r>
    <s v="SAL0025"/>
    <s v="Jan 2026"/>
    <d v="2026-01-28T00:00:00"/>
    <s v="MED022"/>
    <x v="23"/>
    <s v="Muhammad Hassan"/>
    <x v="18"/>
    <n v="45"/>
    <n v="1305"/>
    <n v="21"/>
    <n v="609"/>
    <n v="696"/>
    <x v="0"/>
    <n v="1305"/>
    <n v="0"/>
  </r>
  <r>
    <s v="SAL0026"/>
    <s v="Jan 2026"/>
    <d v="2026-01-10T00:00:00"/>
    <s v="MED056"/>
    <x v="24"/>
    <s v="Sana Butt"/>
    <x v="8"/>
    <n v="85"/>
    <n v="3060"/>
    <n v="41"/>
    <n v="1476"/>
    <n v="1584"/>
    <x v="0"/>
    <n v="3060"/>
    <n v="0"/>
  </r>
  <r>
    <s v="SAL0027"/>
    <s v="Feb 2026"/>
    <d v="2026-02-13T00:00:00"/>
    <s v="MED088"/>
    <x v="25"/>
    <s v="Sara Rehman"/>
    <x v="19"/>
    <n v="145"/>
    <n v="3625"/>
    <n v="70"/>
    <n v="1750"/>
    <n v="1875"/>
    <x v="1"/>
    <n v="0"/>
    <n v="3625"/>
  </r>
  <r>
    <s v="SAL0028"/>
    <s v="Mar 2026"/>
    <d v="2026-03-03T00:00:00"/>
    <s v="MED020"/>
    <x v="14"/>
    <s v="Shahid Raza"/>
    <x v="4"/>
    <n v="35"/>
    <n v="525"/>
    <n v="16"/>
    <n v="240"/>
    <n v="285"/>
    <x v="1"/>
    <n v="262"/>
    <n v="263"/>
  </r>
  <r>
    <s v="SAL0029"/>
    <s v="Feb 2026"/>
    <d v="2026-02-14T00:00:00"/>
    <s v="MED024"/>
    <x v="26"/>
    <s v="Rabia Nawaz"/>
    <x v="20"/>
    <n v="28"/>
    <n v="476"/>
    <n v="13"/>
    <n v="221"/>
    <n v="255"/>
    <x v="0"/>
    <n v="476"/>
    <n v="0"/>
  </r>
  <r>
    <s v="SAL0030"/>
    <s v="Jan 2026"/>
    <d v="2026-01-23T00:00:00"/>
    <s v="MED069"/>
    <x v="1"/>
    <s v="Muhammad Hassan"/>
    <x v="21"/>
    <n v="55"/>
    <n v="1320"/>
    <n v="26"/>
    <n v="624"/>
    <n v="696"/>
    <x v="0"/>
    <n v="1320"/>
    <n v="0"/>
  </r>
  <r>
    <s v="SAL0031"/>
    <s v="Dec 2025"/>
    <d v="2025-12-11T00:00:00"/>
    <s v="MED089"/>
    <x v="16"/>
    <s v="Asif Mirza"/>
    <x v="22"/>
    <n v="285"/>
    <n v="9405"/>
    <n v="140"/>
    <n v="4620"/>
    <n v="4785"/>
    <x v="1"/>
    <n v="0"/>
    <n v="9405"/>
  </r>
  <r>
    <s v="SAL0032"/>
    <s v="Jan 2026"/>
    <d v="2026-01-13T00:00:00"/>
    <s v="MED004"/>
    <x v="27"/>
    <s v="Imran Chaudhry"/>
    <x v="23"/>
    <n v="95"/>
    <n v="4180"/>
    <n v="46"/>
    <n v="2024"/>
    <n v="2156"/>
    <x v="1"/>
    <n v="2090"/>
    <n v="2090"/>
  </r>
  <r>
    <s v="SAL0033"/>
    <s v="Jan 2026"/>
    <d v="2026-01-12T00:00:00"/>
    <s v="MED051"/>
    <x v="28"/>
    <s v="Fatima Malik"/>
    <x v="1"/>
    <n v="35"/>
    <n v="245"/>
    <n v="17"/>
    <n v="119"/>
    <n v="126"/>
    <x v="0"/>
    <n v="245"/>
    <n v="0"/>
  </r>
  <r>
    <s v="SAL0034"/>
    <s v="Jan 2026"/>
    <d v="2026-01-07T00:00:00"/>
    <s v="MED025"/>
    <x v="29"/>
    <s v="Ayesha Siddiqui"/>
    <x v="24"/>
    <n v="85"/>
    <n v="425"/>
    <n v="41"/>
    <n v="205"/>
    <n v="220"/>
    <x v="1"/>
    <n v="0"/>
    <n v="425"/>
  </r>
  <r>
    <s v="SAL0035"/>
    <s v="Mar 2026"/>
    <d v="2026-03-04T00:00:00"/>
    <s v="MED044"/>
    <x v="30"/>
    <s v="Shahid Raza"/>
    <x v="25"/>
    <n v="185"/>
    <n v="7215"/>
    <n v="90"/>
    <n v="3510"/>
    <n v="3705"/>
    <x v="0"/>
    <n v="7215"/>
    <n v="0"/>
  </r>
  <r>
    <s v="SAL0036"/>
    <s v="Jan 2026"/>
    <d v="2026-01-17T00:00:00"/>
    <s v="MED020"/>
    <x v="14"/>
    <s v="Lubna Farooq"/>
    <x v="26"/>
    <n v="35"/>
    <n v="1225"/>
    <n v="16"/>
    <n v="560"/>
    <n v="665"/>
    <x v="0"/>
    <n v="1225"/>
    <n v="0"/>
  </r>
  <r>
    <s v="SAL0037"/>
    <s v="Dec 2025"/>
    <d v="2025-12-16T00:00:00"/>
    <s v="MED004"/>
    <x v="27"/>
    <s v="Muhammad Hassan"/>
    <x v="24"/>
    <n v="95"/>
    <n v="475"/>
    <n v="46"/>
    <n v="230"/>
    <n v="245"/>
    <x v="1"/>
    <n v="237"/>
    <n v="238"/>
  </r>
  <r>
    <s v="SAL0038"/>
    <s v="Dec 2025"/>
    <d v="2025-12-17T00:00:00"/>
    <s v="MED082"/>
    <x v="31"/>
    <s v="Mehwish Qureshi"/>
    <x v="20"/>
    <n v="95"/>
    <n v="1615"/>
    <n v="46"/>
    <n v="782"/>
    <n v="833"/>
    <x v="1"/>
    <n v="807"/>
    <n v="808"/>
  </r>
  <r>
    <s v="SAL0039"/>
    <s v="Jan 2026"/>
    <d v="2026-01-04T00:00:00"/>
    <s v="MED016"/>
    <x v="4"/>
    <s v="Mehwish Qureshi"/>
    <x v="12"/>
    <n v="38"/>
    <n v="304"/>
    <n v="18"/>
    <n v="144"/>
    <n v="160"/>
    <x v="1"/>
    <n v="152"/>
    <n v="152"/>
  </r>
  <r>
    <s v="SAL0040"/>
    <s v="Jan 2026"/>
    <d v="2026-01-20T00:00:00"/>
    <s v="MED040"/>
    <x v="32"/>
    <s v="Zubair Ahmed"/>
    <x v="3"/>
    <n v="28"/>
    <n v="168"/>
    <n v="13"/>
    <n v="78"/>
    <n v="90"/>
    <x v="0"/>
    <n v="168"/>
    <n v="0"/>
  </r>
  <r>
    <s v="SAL0041"/>
    <s v="Mar 2026"/>
    <d v="2026-03-02T00:00:00"/>
    <s v="MED062"/>
    <x v="33"/>
    <s v="Bilal Tariq"/>
    <x v="14"/>
    <n v="165"/>
    <n v="7425"/>
    <n v="80"/>
    <n v="3600"/>
    <n v="3825"/>
    <x v="0"/>
    <n v="7425"/>
    <n v="0"/>
  </r>
  <r>
    <s v="SAL0042"/>
    <s v="Dec 2025"/>
    <d v="2025-12-25T00:00:00"/>
    <s v="MED068"/>
    <x v="12"/>
    <s v="Ahmed Khan"/>
    <x v="21"/>
    <n v="85"/>
    <n v="2040"/>
    <n v="41"/>
    <n v="984"/>
    <n v="1056"/>
    <x v="0"/>
    <n v="2040"/>
    <n v="0"/>
  </r>
  <r>
    <s v="SAL0043"/>
    <s v="Dec 2025"/>
    <d v="2025-12-12T00:00:00"/>
    <s v="MED002"/>
    <x v="15"/>
    <s v="Usman Ali"/>
    <x v="27"/>
    <n v="220"/>
    <n v="7480"/>
    <n v="110"/>
    <n v="3740"/>
    <n v="3740"/>
    <x v="0"/>
    <n v="7480"/>
    <n v="0"/>
  </r>
  <r>
    <s v="SAL0044"/>
    <s v="Feb 2026"/>
    <d v="2026-02-11T00:00:00"/>
    <s v="MED090"/>
    <x v="11"/>
    <s v="Sana Butt"/>
    <x v="20"/>
    <n v="165"/>
    <n v="2805"/>
    <n v="80"/>
    <n v="1360"/>
    <n v="1445"/>
    <x v="0"/>
    <n v="2805"/>
    <n v="0"/>
  </r>
  <r>
    <s v="SAL0045"/>
    <s v="Dec 2025"/>
    <d v="2025-12-30T00:00:00"/>
    <s v="MED003"/>
    <x v="20"/>
    <s v="Kamran Iqbal"/>
    <x v="4"/>
    <n v="180"/>
    <n v="2700"/>
    <n v="88"/>
    <n v="1320"/>
    <n v="1380"/>
    <x v="0"/>
    <n v="2700"/>
    <n v="0"/>
  </r>
  <r>
    <s v="SAL0046"/>
    <s v="Feb 2026"/>
    <d v="2026-02-08T00:00:00"/>
    <s v="MED082"/>
    <x v="31"/>
    <s v="Nadia Hussain"/>
    <x v="4"/>
    <n v="95"/>
    <n v="1425"/>
    <n v="46"/>
    <n v="690"/>
    <n v="735"/>
    <x v="0"/>
    <n v="1425"/>
    <n v="0"/>
  </r>
  <r>
    <s v="SAL0047"/>
    <s v="Feb 2026"/>
    <d v="2026-02-07T00:00:00"/>
    <s v="MED052"/>
    <x v="34"/>
    <s v="Sana Butt"/>
    <x v="28"/>
    <n v="45"/>
    <n v="2160"/>
    <n v="21"/>
    <n v="1008"/>
    <n v="1152"/>
    <x v="1"/>
    <n v="1080"/>
    <n v="1080"/>
  </r>
  <r>
    <s v="SAL0048"/>
    <s v="Jan 2026"/>
    <d v="2026-01-28T00:00:00"/>
    <s v="MED094"/>
    <x v="18"/>
    <s v="Zubair Ahmed"/>
    <x v="29"/>
    <n v="145"/>
    <n v="290"/>
    <n v="70"/>
    <n v="140"/>
    <n v="150"/>
    <x v="1"/>
    <n v="145"/>
    <n v="145"/>
  </r>
  <r>
    <s v="SAL0049"/>
    <s v="Jan 2026"/>
    <d v="2026-01-19T00:00:00"/>
    <s v="MED025"/>
    <x v="29"/>
    <s v="Asif Mirza"/>
    <x v="14"/>
    <n v="85"/>
    <n v="3825"/>
    <n v="41"/>
    <n v="1845"/>
    <n v="1980"/>
    <x v="0"/>
    <n v="3825"/>
    <n v="0"/>
  </r>
  <r>
    <s v="SAL0050"/>
    <s v="Jan 2026"/>
    <d v="2026-01-17T00:00:00"/>
    <s v="MED093"/>
    <x v="35"/>
    <s v="Nadia Hussain"/>
    <x v="13"/>
    <n v="185"/>
    <n v="4255"/>
    <n v="90"/>
    <n v="2070"/>
    <n v="2185"/>
    <x v="1"/>
    <n v="0"/>
    <n v="4255"/>
  </r>
  <r>
    <s v="SAL0051"/>
    <s v="Jan 2026"/>
    <d v="2026-01-20T00:00:00"/>
    <s v="MED014"/>
    <x v="7"/>
    <s v="Bilal Tariq"/>
    <x v="4"/>
    <n v="65"/>
    <n v="975"/>
    <n v="31"/>
    <n v="465"/>
    <n v="510"/>
    <x v="0"/>
    <n v="975"/>
    <n v="0"/>
  </r>
  <r>
    <s v="SAL0052"/>
    <s v="Dec 2025"/>
    <d v="2025-12-16T00:00:00"/>
    <s v="MED062"/>
    <x v="33"/>
    <s v="Mehwish Qureshi"/>
    <x v="30"/>
    <n v="165"/>
    <n v="6600"/>
    <n v="80"/>
    <n v="3200"/>
    <n v="3400"/>
    <x v="1"/>
    <n v="0"/>
    <n v="6600"/>
  </r>
  <r>
    <s v="SAL0053"/>
    <s v="Feb 2026"/>
    <d v="2026-02-22T00:00:00"/>
    <s v="MED084"/>
    <x v="36"/>
    <s v="Imran Chaudhry"/>
    <x v="13"/>
    <n v="65"/>
    <n v="1495"/>
    <n v="31"/>
    <n v="713"/>
    <n v="782"/>
    <x v="1"/>
    <n v="0"/>
    <n v="1495"/>
  </r>
  <r>
    <s v="SAL0054"/>
    <s v="Feb 2026"/>
    <d v="2026-02-10T00:00:00"/>
    <s v="MED092"/>
    <x v="37"/>
    <s v="Rabia Nawaz"/>
    <x v="31"/>
    <n v="125"/>
    <n v="6125"/>
    <n v="61"/>
    <n v="2989"/>
    <n v="3136"/>
    <x v="0"/>
    <n v="6125"/>
    <n v="0"/>
  </r>
  <r>
    <s v="SAL0055"/>
    <s v="Jan 2026"/>
    <d v="2026-01-13T00:00:00"/>
    <s v="MED082"/>
    <x v="31"/>
    <s v="Asif Mirza"/>
    <x v="32"/>
    <n v="95"/>
    <n v="2090"/>
    <n v="46"/>
    <n v="1012"/>
    <n v="1078"/>
    <x v="0"/>
    <n v="2090"/>
    <n v="0"/>
  </r>
  <r>
    <s v="SAL0056"/>
    <s v="Feb 2026"/>
    <d v="2026-02-12T00:00:00"/>
    <s v="MED052"/>
    <x v="34"/>
    <s v="Muhammad Hassan"/>
    <x v="28"/>
    <n v="45"/>
    <n v="2160"/>
    <n v="21"/>
    <n v="1008"/>
    <n v="1152"/>
    <x v="1"/>
    <n v="0"/>
    <n v="2160"/>
  </r>
  <r>
    <s v="SAL0057"/>
    <s v="Jan 2026"/>
    <d v="2026-01-04T00:00:00"/>
    <s v="MED004"/>
    <x v="27"/>
    <s v="Muhammad Hassan"/>
    <x v="0"/>
    <n v="95"/>
    <n v="950"/>
    <n v="46"/>
    <n v="460"/>
    <n v="490"/>
    <x v="0"/>
    <n v="950"/>
    <n v="0"/>
  </r>
  <r>
    <s v="SAL0058"/>
    <s v="Dec 2025"/>
    <d v="2025-12-10T00:00:00"/>
    <s v="MED079"/>
    <x v="38"/>
    <s v="Muhammad Hassan"/>
    <x v="25"/>
    <n v="75"/>
    <n v="2925"/>
    <n v="36"/>
    <n v="1404"/>
    <n v="1521"/>
    <x v="1"/>
    <n v="1462"/>
    <n v="1463"/>
  </r>
  <r>
    <s v="SAL0059"/>
    <s v="Mar 2026"/>
    <d v="2026-03-03T00:00:00"/>
    <s v="MED071"/>
    <x v="39"/>
    <s v="Ayesha Siddiqui"/>
    <x v="8"/>
    <n v="85"/>
    <n v="3060"/>
    <n v="41"/>
    <n v="1476"/>
    <n v="1584"/>
    <x v="0"/>
    <n v="3060"/>
    <n v="0"/>
  </r>
  <r>
    <s v="SAL0060"/>
    <s v="Jan 2026"/>
    <d v="2026-01-08T00:00:00"/>
    <s v="MED068"/>
    <x v="12"/>
    <s v="Bilal Tariq"/>
    <x v="28"/>
    <n v="85"/>
    <n v="4080"/>
    <n v="41"/>
    <n v="1968"/>
    <n v="2112"/>
    <x v="1"/>
    <n v="0"/>
    <n v="4080"/>
  </r>
  <r>
    <s v="SAL0061"/>
    <s v="Dec 2025"/>
    <d v="2025-12-30T00:00:00"/>
    <s v="MED004"/>
    <x v="27"/>
    <s v="Nadia Hussain"/>
    <x v="20"/>
    <n v="95"/>
    <n v="1615"/>
    <n v="46"/>
    <n v="782"/>
    <n v="833"/>
    <x v="0"/>
    <n v="1615"/>
    <n v="0"/>
  </r>
  <r>
    <s v="SAL0062"/>
    <s v="Dec 2025"/>
    <d v="2025-12-25T00:00:00"/>
    <s v="MED002"/>
    <x v="15"/>
    <s v="Rabia Nawaz"/>
    <x v="5"/>
    <n v="220"/>
    <n v="8360"/>
    <n v="110"/>
    <n v="4180"/>
    <n v="4180"/>
    <x v="0"/>
    <n v="8360"/>
    <n v="0"/>
  </r>
  <r>
    <s v="SAL0063"/>
    <s v="Jan 2026"/>
    <d v="2026-01-18T00:00:00"/>
    <s v="MED017"/>
    <x v="40"/>
    <s v="Shahid Raza"/>
    <x v="16"/>
    <n v="45"/>
    <n v="180"/>
    <n v="21"/>
    <n v="84"/>
    <n v="96"/>
    <x v="1"/>
    <n v="90"/>
    <n v="90"/>
  </r>
  <r>
    <s v="SAL0064"/>
    <s v="Dec 2025"/>
    <d v="2025-12-30T00:00:00"/>
    <s v="MED067"/>
    <x v="41"/>
    <s v="Alina Khan"/>
    <x v="33"/>
    <n v="65"/>
    <n v="1755"/>
    <n v="31"/>
    <n v="837"/>
    <n v="918"/>
    <x v="1"/>
    <n v="0"/>
    <n v="1755"/>
  </r>
  <r>
    <s v="SAL0065"/>
    <s v="Jan 2026"/>
    <d v="2026-01-07T00:00:00"/>
    <s v="MED020"/>
    <x v="14"/>
    <s v="Sara Rehman"/>
    <x v="27"/>
    <n v="35"/>
    <n v="1190"/>
    <n v="16"/>
    <n v="544"/>
    <n v="646"/>
    <x v="0"/>
    <n v="1190"/>
    <n v="0"/>
  </r>
  <r>
    <s v="SAL0066"/>
    <s v="Feb 2026"/>
    <d v="2026-02-13T00:00:00"/>
    <s v="MED078"/>
    <x v="42"/>
    <s v="Muhammad Hassan"/>
    <x v="34"/>
    <n v="385"/>
    <n v="385"/>
    <n v="190"/>
    <n v="190"/>
    <n v="195"/>
    <x v="1"/>
    <n v="0"/>
    <n v="385"/>
  </r>
  <r>
    <s v="SAL0067"/>
    <s v="Dec 2025"/>
    <d v="2025-12-23T00:00:00"/>
    <s v="MED061"/>
    <x v="43"/>
    <s v="Kamran Iqbal"/>
    <x v="30"/>
    <n v="95"/>
    <n v="3800"/>
    <n v="46"/>
    <n v="1840"/>
    <n v="1960"/>
    <x v="1"/>
    <n v="0"/>
    <n v="3800"/>
  </r>
  <r>
    <s v="SAL0068"/>
    <s v="Jan 2026"/>
    <d v="2026-01-02T00:00:00"/>
    <s v="MED088"/>
    <x v="25"/>
    <s v="Ayesha Siddiqui"/>
    <x v="27"/>
    <n v="145"/>
    <n v="4930"/>
    <n v="70"/>
    <n v="2380"/>
    <n v="2550"/>
    <x v="0"/>
    <n v="4930"/>
    <n v="0"/>
  </r>
  <r>
    <s v="SAL0069"/>
    <s v="Jan 2026"/>
    <d v="2026-01-28T00:00:00"/>
    <s v="MED072"/>
    <x v="6"/>
    <s v="Fatima Malik"/>
    <x v="16"/>
    <n v="65"/>
    <n v="260"/>
    <n v="31"/>
    <n v="124"/>
    <n v="136"/>
    <x v="0"/>
    <n v="260"/>
    <n v="0"/>
  </r>
  <r>
    <s v="SAL0070"/>
    <s v="Dec 2025"/>
    <d v="2025-12-23T00:00:00"/>
    <s v="MED003"/>
    <x v="20"/>
    <s v="Ahmed Khan"/>
    <x v="1"/>
    <n v="180"/>
    <n v="1260"/>
    <n v="88"/>
    <n v="616"/>
    <n v="644"/>
    <x v="0"/>
    <n v="1260"/>
    <n v="0"/>
  </r>
  <r>
    <s v="SAL0071"/>
    <s v="Dec 2025"/>
    <d v="2025-12-16T00:00:00"/>
    <s v="MED002"/>
    <x v="15"/>
    <s v="Tariq Mahmood"/>
    <x v="24"/>
    <n v="220"/>
    <n v="1100"/>
    <n v="110"/>
    <n v="550"/>
    <n v="550"/>
    <x v="0"/>
    <n v="1100"/>
    <n v="0"/>
  </r>
  <r>
    <s v="SAL0072"/>
    <s v="Jan 2026"/>
    <d v="2026-01-28T00:00:00"/>
    <s v="MED078"/>
    <x v="42"/>
    <s v="Asif Mirza"/>
    <x v="22"/>
    <n v="385"/>
    <n v="12705"/>
    <n v="190"/>
    <n v="6270"/>
    <n v="6435"/>
    <x v="0"/>
    <n v="12705"/>
    <n v="0"/>
  </r>
  <r>
    <s v="SAL0073"/>
    <s v="Dec 2025"/>
    <d v="2025-12-30T00:00:00"/>
    <s v="MED066"/>
    <x v="44"/>
    <s v="Tariq Mahmood"/>
    <x v="26"/>
    <n v="125"/>
    <n v="4375"/>
    <n v="61"/>
    <n v="2135"/>
    <n v="2240"/>
    <x v="1"/>
    <n v="0"/>
    <n v="4375"/>
  </r>
  <r>
    <s v="SAL0074"/>
    <s v="Feb 2026"/>
    <d v="2026-02-07T00:00:00"/>
    <s v="MED034"/>
    <x v="45"/>
    <s v="Muhammad Hassan"/>
    <x v="8"/>
    <n v="25"/>
    <n v="900"/>
    <n v="12"/>
    <n v="432"/>
    <n v="468"/>
    <x v="1"/>
    <n v="450"/>
    <n v="450"/>
  </r>
  <r>
    <s v="SAL0075"/>
    <s v="Jan 2026"/>
    <d v="2026-01-23T00:00:00"/>
    <s v="MED054"/>
    <x v="46"/>
    <s v="Usman Ali"/>
    <x v="12"/>
    <n v="75"/>
    <n v="600"/>
    <n v="36"/>
    <n v="288"/>
    <n v="312"/>
    <x v="0"/>
    <n v="600"/>
    <n v="0"/>
  </r>
  <r>
    <s v="SAL0076"/>
    <s v="Feb 2026"/>
    <d v="2026-02-05T00:00:00"/>
    <s v="MED086"/>
    <x v="47"/>
    <s v="Hina Shah"/>
    <x v="17"/>
    <n v="125"/>
    <n v="2000"/>
    <n v="61"/>
    <n v="976"/>
    <n v="1024"/>
    <x v="0"/>
    <n v="2000"/>
    <n v="0"/>
  </r>
  <r>
    <s v="SAL0077"/>
    <s v="Dec 2025"/>
    <d v="2025-12-12T00:00:00"/>
    <s v="MED016"/>
    <x v="4"/>
    <s v="Sana Butt"/>
    <x v="11"/>
    <n v="38"/>
    <n v="1900"/>
    <n v="18"/>
    <n v="900"/>
    <n v="1000"/>
    <x v="0"/>
    <n v="1900"/>
    <n v="0"/>
  </r>
  <r>
    <s v="SAL0078"/>
    <s v="Jan 2026"/>
    <d v="2026-01-04T00:00:00"/>
    <s v="MED019"/>
    <x v="48"/>
    <s v="Ayesha Siddiqui"/>
    <x v="20"/>
    <n v="120"/>
    <n v="2040"/>
    <n v="58"/>
    <n v="986"/>
    <n v="1054"/>
    <x v="1"/>
    <n v="0"/>
    <n v="2040"/>
  </r>
  <r>
    <s v="SAL0079"/>
    <s v="Dec 2025"/>
    <d v="2025-12-09T00:00:00"/>
    <s v="MED051"/>
    <x v="28"/>
    <s v="Nadia Hussain"/>
    <x v="9"/>
    <n v="35"/>
    <n v="1120"/>
    <n v="17"/>
    <n v="544"/>
    <n v="576"/>
    <x v="0"/>
    <n v="1120"/>
    <n v="0"/>
  </r>
  <r>
    <s v="SAL0080"/>
    <s v="Dec 2025"/>
    <d v="2025-12-29T00:00:00"/>
    <s v="MED021"/>
    <x v="49"/>
    <s v="Imran Chaudhry"/>
    <x v="15"/>
    <n v="65"/>
    <n v="2990"/>
    <n v="31"/>
    <n v="1426"/>
    <n v="1564"/>
    <x v="0"/>
    <n v="2990"/>
    <n v="0"/>
  </r>
  <r>
    <s v="SAL0081"/>
    <s v="Jan 2026"/>
    <d v="2026-01-23T00:00:00"/>
    <s v="MED044"/>
    <x v="30"/>
    <s v="Usman Ali"/>
    <x v="33"/>
    <n v="185"/>
    <n v="4995"/>
    <n v="90"/>
    <n v="2430"/>
    <n v="2565"/>
    <x v="0"/>
    <n v="4995"/>
    <n v="0"/>
  </r>
  <r>
    <s v="SAL0082"/>
    <s v="Dec 2025"/>
    <d v="2025-12-24T00:00:00"/>
    <s v="MED093"/>
    <x v="35"/>
    <s v="Asif Mirza"/>
    <x v="21"/>
    <n v="185"/>
    <n v="4440"/>
    <n v="90"/>
    <n v="2160"/>
    <n v="2280"/>
    <x v="0"/>
    <n v="4440"/>
    <n v="0"/>
  </r>
  <r>
    <s v="SAL0083"/>
    <s v="Jan 2026"/>
    <d v="2026-01-21T00:00:00"/>
    <s v="MED057"/>
    <x v="50"/>
    <s v="Tariq Mahmood"/>
    <x v="15"/>
    <n v="75"/>
    <n v="3450"/>
    <n v="36"/>
    <n v="1656"/>
    <n v="1794"/>
    <x v="0"/>
    <n v="3450"/>
    <n v="0"/>
  </r>
  <r>
    <s v="SAL0084"/>
    <s v="Feb 2026"/>
    <d v="2026-02-24T00:00:00"/>
    <s v="MED080"/>
    <x v="51"/>
    <s v="Ayesha Siddiqui"/>
    <x v="35"/>
    <n v="125"/>
    <n v="2375"/>
    <n v="61"/>
    <n v="1159"/>
    <n v="1216"/>
    <x v="0"/>
    <n v="2375"/>
    <n v="0"/>
  </r>
  <r>
    <s v="SAL0085"/>
    <s v="Jan 2026"/>
    <d v="2026-01-29T00:00:00"/>
    <s v="MED030"/>
    <x v="52"/>
    <s v="Fatima Malik"/>
    <x v="1"/>
    <n v="285"/>
    <n v="1995"/>
    <n v="140"/>
    <n v="980"/>
    <n v="1015"/>
    <x v="0"/>
    <n v="1995"/>
    <n v="0"/>
  </r>
  <r>
    <s v="SAL0086"/>
    <s v="Feb 2026"/>
    <d v="2026-02-16T00:00:00"/>
    <s v="MED004"/>
    <x v="27"/>
    <s v="Rabia Nawaz"/>
    <x v="36"/>
    <n v="95"/>
    <n v="1140"/>
    <n v="46"/>
    <n v="552"/>
    <n v="588"/>
    <x v="0"/>
    <n v="1140"/>
    <n v="0"/>
  </r>
  <r>
    <s v="SAL0087"/>
    <s v="Dec 2025"/>
    <d v="2025-12-26T00:00:00"/>
    <s v="MED087"/>
    <x v="53"/>
    <s v="Tariq Mahmood"/>
    <x v="20"/>
    <n v="125"/>
    <n v="2125"/>
    <n v="61"/>
    <n v="1037"/>
    <n v="1088"/>
    <x v="0"/>
    <n v="2125"/>
    <n v="0"/>
  </r>
  <r>
    <s v="SAL0088"/>
    <s v="Feb 2026"/>
    <d v="2026-02-21T00:00:00"/>
    <s v="MED074"/>
    <x v="5"/>
    <s v="Fatima Malik"/>
    <x v="9"/>
    <n v="185"/>
    <n v="5920"/>
    <n v="90"/>
    <n v="2880"/>
    <n v="3040"/>
    <x v="1"/>
    <n v="2960"/>
    <n v="2960"/>
  </r>
  <r>
    <s v="SAL0089"/>
    <s v="Feb 2026"/>
    <d v="2026-02-23T00:00:00"/>
    <s v="MED089"/>
    <x v="16"/>
    <s v="Zubair Ahmed"/>
    <x v="36"/>
    <n v="285"/>
    <n v="3420"/>
    <n v="140"/>
    <n v="1680"/>
    <n v="1740"/>
    <x v="0"/>
    <n v="3420"/>
    <n v="0"/>
  </r>
  <r>
    <s v="SAL0090"/>
    <s v="Jan 2026"/>
    <d v="2026-01-30T00:00:00"/>
    <s v="MED003"/>
    <x v="20"/>
    <s v="Usman Ali"/>
    <x v="37"/>
    <n v="180"/>
    <n v="7380"/>
    <n v="88"/>
    <n v="3608"/>
    <n v="3772"/>
    <x v="0"/>
    <n v="7380"/>
    <n v="0"/>
  </r>
  <r>
    <s v="SAL0091"/>
    <s v="Feb 2026"/>
    <d v="2026-02-17T00:00:00"/>
    <s v="MED078"/>
    <x v="42"/>
    <s v="Asif Mirza"/>
    <x v="4"/>
    <n v="385"/>
    <n v="5775"/>
    <n v="190"/>
    <n v="2850"/>
    <n v="2925"/>
    <x v="0"/>
    <n v="5775"/>
    <n v="0"/>
  </r>
  <r>
    <s v="SAL0092"/>
    <s v="Jan 2026"/>
    <d v="2026-01-10T00:00:00"/>
    <s v="MED002"/>
    <x v="15"/>
    <s v="Lubna Farooq"/>
    <x v="32"/>
    <n v="220"/>
    <n v="4840"/>
    <n v="110"/>
    <n v="2420"/>
    <n v="2420"/>
    <x v="1"/>
    <n v="2420"/>
    <n v="2420"/>
  </r>
  <r>
    <s v="SAL0093"/>
    <s v="Feb 2026"/>
    <d v="2026-02-02T00:00:00"/>
    <s v="MED017"/>
    <x v="40"/>
    <s v="Ayesha Siddiqui"/>
    <x v="2"/>
    <n v="45"/>
    <n v="135"/>
    <n v="21"/>
    <n v="63"/>
    <n v="72"/>
    <x v="0"/>
    <n v="135"/>
    <n v="0"/>
  </r>
  <r>
    <s v="SAL0094"/>
    <s v="Feb 2026"/>
    <d v="2026-02-07T00:00:00"/>
    <s v="MED021"/>
    <x v="49"/>
    <s v="Hina Shah"/>
    <x v="20"/>
    <n v="65"/>
    <n v="1105"/>
    <n v="31"/>
    <n v="527"/>
    <n v="578"/>
    <x v="0"/>
    <n v="1105"/>
    <n v="0"/>
  </r>
  <r>
    <s v="SAL0095"/>
    <s v="Feb 2026"/>
    <d v="2026-02-06T00:00:00"/>
    <s v="MED081"/>
    <x v="54"/>
    <s v="Hina Shah"/>
    <x v="38"/>
    <n v="35"/>
    <n v="700"/>
    <n v="17"/>
    <n v="340"/>
    <n v="360"/>
    <x v="0"/>
    <n v="700"/>
    <n v="0"/>
  </r>
  <r>
    <s v="SAL0096"/>
    <s v="Jan 2026"/>
    <d v="2026-01-29T00:00:00"/>
    <s v="MED058"/>
    <x v="55"/>
    <s v="Ahmed Khan"/>
    <x v="22"/>
    <n v="125"/>
    <n v="4125"/>
    <n v="61"/>
    <n v="2013"/>
    <n v="2112"/>
    <x v="1"/>
    <n v="2062"/>
    <n v="2063"/>
  </r>
  <r>
    <m/>
    <m/>
    <m/>
    <m/>
    <x v="56"/>
    <m/>
    <x v="39"/>
    <m/>
    <m/>
    <m/>
    <m/>
    <m/>
    <x v="2"/>
    <m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6">
  <r>
    <s v="MED001"/>
    <s v="Amoxicillin 500mg"/>
    <s v="Antibiotics"/>
    <n v="927"/>
    <n v="100"/>
    <n v="0"/>
    <n v="0"/>
    <x v="0"/>
  </r>
  <r>
    <s v="MED002"/>
    <s v="Augmentin 625mg"/>
    <s v="Antibiotics"/>
    <n v="493"/>
    <n v="50"/>
    <n v="0"/>
    <n v="45"/>
    <x v="0"/>
  </r>
  <r>
    <s v="MED003"/>
    <s v="Azithromycin 250mg"/>
    <s v="Antibiotics"/>
    <n v="354"/>
    <n v="60"/>
    <n v="0"/>
    <n v="31"/>
    <x v="0"/>
  </r>
  <r>
    <s v="MED004"/>
    <s v="Ciprofloxacin 500mg"/>
    <s v="Antibiotics"/>
    <n v="218"/>
    <n v="80"/>
    <n v="0"/>
    <n v="30"/>
    <x v="0"/>
  </r>
  <r>
    <s v="MED005"/>
    <s v="Metronidazole 400mg"/>
    <s v="Antibiotics"/>
    <n v="65"/>
    <n v="100"/>
    <n v="35"/>
    <n v="35"/>
    <x v="1"/>
  </r>
  <r>
    <s v="MED006"/>
    <s v="Cephalexin 500mg"/>
    <s v="Antibiotics"/>
    <n v="388"/>
    <n v="60"/>
    <n v="0"/>
    <n v="0"/>
    <x v="0"/>
  </r>
  <r>
    <s v="MED007"/>
    <s v="Doxycycline 100mg"/>
    <s v="Antibiotics"/>
    <n v="0"/>
    <n v="80"/>
    <n v="80"/>
    <n v="80"/>
    <x v="2"/>
  </r>
  <r>
    <s v="MED008"/>
    <s v="Paracetamol 500mg"/>
    <s v="Analgesics"/>
    <n v="566"/>
    <n v="200"/>
    <n v="0"/>
    <n v="0"/>
    <x v="0"/>
  </r>
  <r>
    <s v="MED009"/>
    <s v="Ibuprofen 400mg"/>
    <s v="Analgesics"/>
    <n v="433"/>
    <n v="150"/>
    <n v="0"/>
    <n v="2"/>
    <x v="0"/>
  </r>
  <r>
    <s v="MED010"/>
    <s v="Diclofenac 50mg"/>
    <s v="Analgesics"/>
    <n v="209"/>
    <n v="120"/>
    <n v="0"/>
    <n v="3"/>
    <x v="0"/>
  </r>
  <r>
    <s v="MED011"/>
    <s v="Aspirin 75mg"/>
    <s v="Analgesics"/>
    <n v="0"/>
    <n v="150"/>
    <n v="150"/>
    <n v="150"/>
    <x v="2"/>
  </r>
  <r>
    <s v="MED012"/>
    <s v="Tramadol 50mg"/>
    <s v="Analgesics"/>
    <n v="436"/>
    <n v="70"/>
    <n v="0"/>
    <n v="0"/>
    <x v="0"/>
  </r>
  <r>
    <s v="MED013"/>
    <s v="Mefenamic Acid 500mg"/>
    <s v="Analgesics"/>
    <n v="208"/>
    <n v="100"/>
    <n v="0"/>
    <n v="12"/>
    <x v="0"/>
  </r>
  <r>
    <s v="MED014"/>
    <s v="Omeprazole 20mg"/>
    <s v="Antacids"/>
    <n v="243"/>
    <n v="120"/>
    <n v="0"/>
    <n v="18"/>
    <x v="0"/>
  </r>
  <r>
    <s v="MED015"/>
    <s v="Pantoprazole 40mg"/>
    <s v="Antacids"/>
    <n v="88"/>
    <n v="100"/>
    <n v="12"/>
    <n v="12"/>
    <x v="1"/>
  </r>
  <r>
    <s v="MED016"/>
    <s v="Ranitidine 150mg"/>
    <s v="Antacids"/>
    <n v="240"/>
    <n v="130"/>
    <n v="0"/>
    <n v="37"/>
    <x v="0"/>
  </r>
  <r>
    <s v="MED017"/>
    <s v="Domperidone 10mg"/>
    <s v="Antacids"/>
    <n v="386"/>
    <n v="120"/>
    <n v="0"/>
    <n v="3"/>
    <x v="0"/>
  </r>
  <r>
    <s v="MED018"/>
    <s v="Lansoprazole 30mg"/>
    <s v="Antacids"/>
    <n v="0"/>
    <n v="80"/>
    <n v="80"/>
    <n v="80"/>
    <x v="2"/>
  </r>
  <r>
    <s v="MED019"/>
    <s v="Esomeprazole 40mg"/>
    <s v="Antacids"/>
    <n v="193"/>
    <n v="70"/>
    <n v="0"/>
    <n v="6"/>
    <x v="0"/>
  </r>
  <r>
    <s v="MED020"/>
    <s v="Vitamin C 500mg"/>
    <s v="Vitamins"/>
    <n v="432"/>
    <n v="150"/>
    <n v="0"/>
    <n v="39"/>
    <x v="0"/>
  </r>
  <r>
    <s v="MED021"/>
    <s v="Vitamin D3 1000IU"/>
    <s v="Vitamins"/>
    <n v="1317"/>
    <n v="100"/>
    <n v="0"/>
    <n v="21"/>
    <x v="0"/>
  </r>
  <r>
    <s v="MED022"/>
    <s v="Vitamin B Complex"/>
    <s v="Vitamins"/>
    <n v="179"/>
    <n v="120"/>
    <n v="0"/>
    <n v="10"/>
    <x v="0"/>
  </r>
  <r>
    <s v="MED023"/>
    <s v="Folic Acid 5mg"/>
    <s v="Vitamins"/>
    <n v="347"/>
    <n v="200"/>
    <n v="0"/>
    <n v="0"/>
    <x v="0"/>
  </r>
  <r>
    <s v="MED024"/>
    <s v="Iron+Folic Acid"/>
    <s v="Vitamins"/>
    <n v="373"/>
    <n v="150"/>
    <n v="0"/>
    <n v="6"/>
    <x v="0"/>
  </r>
  <r>
    <s v="MED025"/>
    <s v="Multivitamin"/>
    <s v="Vitamins"/>
    <n v="94"/>
    <n v="80"/>
    <n v="0"/>
    <n v="17"/>
    <x v="0"/>
  </r>
  <r>
    <s v="MED026"/>
    <s v="Calcium+Vit D"/>
    <s v="Vitamins"/>
    <n v="0"/>
    <n v="100"/>
    <n v="100"/>
    <n v="100"/>
    <x v="2"/>
  </r>
  <r>
    <s v="MED027"/>
    <s v="Metformin 500mg"/>
    <s v="Antidiabetics"/>
    <n v="205"/>
    <n v="200"/>
    <n v="0"/>
    <n v="11"/>
    <x v="0"/>
  </r>
  <r>
    <s v="MED028"/>
    <s v="Metformin 1000mg"/>
    <s v="Antidiabetics"/>
    <n v="708"/>
    <n v="150"/>
    <n v="0"/>
    <n v="1"/>
    <x v="0"/>
  </r>
  <r>
    <s v="MED029"/>
    <s v="Glibenclamide 5mg"/>
    <s v="Antidiabetics"/>
    <n v="0"/>
    <n v="180"/>
    <n v="180"/>
    <n v="180"/>
    <x v="2"/>
  </r>
  <r>
    <s v="MED030"/>
    <s v="Sitagliptin 100mg"/>
    <s v="Antidiabetics"/>
    <n v="278"/>
    <n v="50"/>
    <n v="0"/>
    <n v="3"/>
    <x v="0"/>
  </r>
  <r>
    <s v="MED031"/>
    <s v="Glimepiride 2mg"/>
    <s v="Antidiabetics"/>
    <n v="985"/>
    <n v="130"/>
    <n v="0"/>
    <n v="2"/>
    <x v="0"/>
  </r>
  <r>
    <s v="MED032"/>
    <s v="Insulin Glargine"/>
    <s v="Antidiabetics"/>
    <n v="790"/>
    <n v="20"/>
    <n v="0"/>
    <n v="0"/>
    <x v="0"/>
  </r>
  <r>
    <s v="MED033"/>
    <s v="Amlodipine 5mg"/>
    <s v="Antihypertensives"/>
    <n v="0"/>
    <n v="200"/>
    <n v="200"/>
    <n v="200"/>
    <x v="2"/>
  </r>
  <r>
    <s v="MED034"/>
    <s v="Atenolol 50mg"/>
    <s v="Antihypertensives"/>
    <n v="348"/>
    <n v="200"/>
    <n v="0"/>
    <n v="12"/>
    <x v="0"/>
  </r>
  <r>
    <s v="MED035"/>
    <s v="Lisinopril 10mg"/>
    <s v="Antihypertensives"/>
    <n v="0"/>
    <n v="150"/>
    <n v="150"/>
    <n v="150"/>
    <x v="2"/>
  </r>
  <r>
    <s v="MED036"/>
    <s v="Losartan 50mg"/>
    <s v="Antihypertensives"/>
    <n v="72"/>
    <n v="130"/>
    <n v="58"/>
    <n v="58"/>
    <x v="1"/>
  </r>
  <r>
    <s v="MED037"/>
    <s v="Valsartan 80mg"/>
    <s v="Antihypertensives"/>
    <n v="397"/>
    <n v="100"/>
    <n v="0"/>
    <n v="16"/>
    <x v="0"/>
  </r>
  <r>
    <s v="MED038"/>
    <s v="Ramipril 5mg"/>
    <s v="Antihypertensives"/>
    <n v="0"/>
    <n v="120"/>
    <n v="120"/>
    <n v="120"/>
    <x v="2"/>
  </r>
  <r>
    <s v="MED039"/>
    <s v="Cetirizine 10mg"/>
    <s v="Antihistamines"/>
    <n v="0"/>
    <n v="200"/>
    <n v="200"/>
    <n v="200"/>
    <x v="2"/>
  </r>
  <r>
    <s v="MED040"/>
    <s v="Loratadine 10mg"/>
    <s v="Antihistamines"/>
    <n v="195"/>
    <n v="150"/>
    <n v="0"/>
    <n v="2"/>
    <x v="0"/>
  </r>
  <r>
    <s v="MED041"/>
    <s v="Fexofenadine 120mg"/>
    <s v="Antihistamines"/>
    <n v="0"/>
    <n v="100"/>
    <n v="100"/>
    <n v="100"/>
    <x v="2"/>
  </r>
  <r>
    <s v="MED042"/>
    <s v="Chlorpheniramine 4mg"/>
    <s v="Antihistamines"/>
    <n v="156"/>
    <n v="200"/>
    <n v="44"/>
    <n v="44"/>
    <x v="1"/>
  </r>
  <r>
    <s v="MED043"/>
    <s v="Desloratadine 5mg"/>
    <s v="Antihistamines"/>
    <n v="86"/>
    <n v="100"/>
    <n v="14"/>
    <n v="14"/>
    <x v="1"/>
  </r>
  <r>
    <s v="MED044"/>
    <s v="Dettol 500ml"/>
    <s v="Antiseptics"/>
    <n v="-6"/>
    <n v="40"/>
    <n v="46"/>
    <n v="46"/>
    <x v="3"/>
  </r>
  <r>
    <s v="MED045"/>
    <s v="Savlon 500ml"/>
    <s v="Antiseptics"/>
    <n v="629"/>
    <n v="40"/>
    <n v="0"/>
    <n v="0"/>
    <x v="0"/>
  </r>
  <r>
    <s v="MED046"/>
    <s v="Povidone Iodine"/>
    <s v="Antiseptics"/>
    <n v="749"/>
    <n v="50"/>
    <n v="0"/>
    <n v="0"/>
    <x v="0"/>
  </r>
  <r>
    <s v="MED047"/>
    <s v="Hydrogen Peroxide"/>
    <s v="Antiseptics"/>
    <n v="457"/>
    <n v="60"/>
    <n v="0"/>
    <n v="0"/>
    <x v="0"/>
  </r>
  <r>
    <s v="MED048"/>
    <s v="Betadine Ointment"/>
    <s v="Antiseptics"/>
    <n v="0"/>
    <n v="40"/>
    <n v="40"/>
    <n v="40"/>
    <x v="2"/>
  </r>
  <r>
    <s v="MED049"/>
    <s v="Cough Syrup DM"/>
    <s v="Cough &amp; Cold"/>
    <n v="684"/>
    <n v="80"/>
    <n v="0"/>
    <n v="0"/>
    <x v="0"/>
  </r>
  <r>
    <s v="MED050"/>
    <s v="Ambroxol Syrup"/>
    <s v="Cough &amp; Cold"/>
    <n v="345"/>
    <n v="80"/>
    <n v="0"/>
    <n v="0"/>
    <x v="0"/>
  </r>
  <r>
    <s v="MED051"/>
    <s v="Bromhexine 8mg"/>
    <s v="Cough &amp; Cold"/>
    <n v="151"/>
    <n v="100"/>
    <n v="0"/>
    <n v="13"/>
    <x v="0"/>
  </r>
  <r>
    <s v="MED052"/>
    <s v="Pseudoephedrine"/>
    <s v="Cough &amp; Cold"/>
    <n v="1045"/>
    <n v="80"/>
    <n v="0"/>
    <n v="32"/>
    <x v="0"/>
  </r>
  <r>
    <s v="MED053"/>
    <s v="Phenylephrine"/>
    <s v="Cough &amp; Cold"/>
    <n v="0"/>
    <n v="100"/>
    <n v="100"/>
    <n v="100"/>
    <x v="2"/>
  </r>
  <r>
    <s v="MED054"/>
    <s v="Guaifenesin Syrup"/>
    <s v="Cough &amp; Cold"/>
    <n v="73"/>
    <n v="80"/>
    <n v="7"/>
    <n v="7"/>
    <x v="1"/>
  </r>
  <r>
    <s v="MED055"/>
    <s v="Calamine Lotion"/>
    <s v="Skin Care"/>
    <n v="0"/>
    <n v="60"/>
    <n v="60"/>
    <n v="60"/>
    <x v="2"/>
  </r>
  <r>
    <s v="MED056"/>
    <s v="Clotrimazole Cream"/>
    <s v="Skin Care"/>
    <n v="75"/>
    <n v="80"/>
    <n v="5"/>
    <n v="12"/>
    <x v="1"/>
  </r>
  <r>
    <s v="MED057"/>
    <s v="Hydrocortisone Cream"/>
    <s v="Skin Care"/>
    <n v="357"/>
    <n v="80"/>
    <n v="0"/>
    <n v="16"/>
    <x v="0"/>
  </r>
  <r>
    <s v="MED058"/>
    <s v="Betamethasone Cream"/>
    <s v="Skin Care"/>
    <n v="281"/>
    <n v="60"/>
    <n v="0"/>
    <n v="11"/>
    <x v="0"/>
  </r>
  <r>
    <s v="MED059"/>
    <s v="Fusidic Acid Cream"/>
    <s v="Skin Care"/>
    <n v="118"/>
    <n v="50"/>
    <n v="0"/>
    <n v="0"/>
    <x v="0"/>
  </r>
  <r>
    <s v="MED060"/>
    <s v="Benzoyl Peroxide"/>
    <s v="Skin Care"/>
    <n v="0"/>
    <n v="60"/>
    <n v="60"/>
    <n v="60"/>
    <x v="2"/>
  </r>
  <r>
    <s v="MED061"/>
    <s v="Salicylic Acid"/>
    <s v="Skin Care"/>
    <n v="423"/>
    <n v="80"/>
    <n v="0"/>
    <n v="14"/>
    <x v="0"/>
  </r>
  <r>
    <s v="MED062"/>
    <s v="Fluconazole 150mg"/>
    <s v="Antibiotics"/>
    <n v="88"/>
    <n v="70"/>
    <n v="0"/>
    <n v="29"/>
    <x v="0"/>
  </r>
  <r>
    <s v="MED063"/>
    <s v="Clarithromycin 250mg"/>
    <s v="Antibiotics"/>
    <n v="355"/>
    <n v="50"/>
    <n v="0"/>
    <n v="0"/>
    <x v="0"/>
  </r>
  <r>
    <s v="MED064"/>
    <s v="Levofloxacin 500mg"/>
    <s v="Antibiotics"/>
    <n v="264"/>
    <n v="60"/>
    <n v="0"/>
    <n v="2"/>
    <x v="0"/>
  </r>
  <r>
    <s v="MED065"/>
    <s v="Cefixime 400mg"/>
    <s v="Antibiotics"/>
    <n v="589"/>
    <n v="50"/>
    <n v="0"/>
    <n v="0"/>
    <x v="0"/>
  </r>
  <r>
    <s v="MED066"/>
    <s v="Nitrofurantoin 100mg"/>
    <s v="Antibiotics"/>
    <n v="93"/>
    <n v="70"/>
    <n v="0"/>
    <n v="12"/>
    <x v="0"/>
  </r>
  <r>
    <s v="MED067"/>
    <s v="Naproxen 500mg"/>
    <s v="Analgesics"/>
    <n v="352"/>
    <n v="100"/>
    <n v="0"/>
    <n v="9"/>
    <x v="0"/>
  </r>
  <r>
    <s v="MED068"/>
    <s v="Ketorolac 10mg"/>
    <s v="Analgesics"/>
    <n v="74"/>
    <n v="80"/>
    <n v="6"/>
    <n v="35"/>
    <x v="1"/>
  </r>
  <r>
    <s v="MED069"/>
    <s v="Piroxicam 20mg"/>
    <s v="Analgesics"/>
    <n v="248"/>
    <n v="100"/>
    <n v="0"/>
    <n v="11"/>
    <x v="0"/>
  </r>
  <r>
    <s v="MED070"/>
    <s v="Pantoprazole 20mg"/>
    <s v="Antacids"/>
    <n v="527"/>
    <n v="120"/>
    <n v="0"/>
    <n v="0"/>
    <x v="0"/>
  </r>
  <r>
    <s v="MED071"/>
    <s v="Sucralfate 1g"/>
    <s v="Antacids"/>
    <n v="98"/>
    <n v="70"/>
    <n v="0"/>
    <n v="12"/>
    <x v="0"/>
  </r>
  <r>
    <s v="MED072"/>
    <s v="Aluminum Hydroxide"/>
    <s v="Antacids"/>
    <n v="138"/>
    <n v="80"/>
    <n v="0"/>
    <n v="5"/>
    <x v="0"/>
  </r>
  <r>
    <s v="MED073"/>
    <s v="Zinc Supplement"/>
    <s v="Vitamins"/>
    <n v="0"/>
    <n v="120"/>
    <n v="120"/>
    <n v="120"/>
    <x v="2"/>
  </r>
  <r>
    <s v="MED074"/>
    <s v="Omega-3"/>
    <s v="Vitamins"/>
    <n v="273"/>
    <n v="60"/>
    <n v="0"/>
    <n v="24"/>
    <x v="0"/>
  </r>
  <r>
    <s v="MED075"/>
    <s v="Vitamin E 400IU"/>
    <s v="Vitamins"/>
    <n v="1270"/>
    <n v="80"/>
    <n v="0"/>
    <n v="10"/>
    <x v="0"/>
  </r>
  <r>
    <s v="MED076"/>
    <s v="Pioglitazone 15mg"/>
    <s v="Antidiabetics"/>
    <n v="192"/>
    <n v="70"/>
    <n v="0"/>
    <n v="0"/>
    <x v="0"/>
  </r>
  <r>
    <s v="MED077"/>
    <s v="Repaglinide 1mg"/>
    <s v="Antidiabetics"/>
    <n v="0"/>
    <n v="60"/>
    <n v="60"/>
    <n v="60"/>
    <x v="2"/>
  </r>
  <r>
    <s v="MED078"/>
    <s v="Empagliflozin 10mg"/>
    <s v="Antidiabetics"/>
    <n v="483"/>
    <n v="30"/>
    <n v="0"/>
    <n v="17"/>
    <x v="0"/>
  </r>
  <r>
    <s v="MED079"/>
    <s v="Telmisartan 40mg"/>
    <s v="Antihypertensives"/>
    <n v="138"/>
    <n v="120"/>
    <n v="0"/>
    <n v="13"/>
    <x v="0"/>
  </r>
  <r>
    <s v="MED080"/>
    <s v="Nebivolol 5mg"/>
    <s v="Antihypertensives"/>
    <n v="141"/>
    <n v="80"/>
    <n v="0"/>
    <n v="7"/>
    <x v="0"/>
  </r>
  <r>
    <s v="MED081"/>
    <s v="Hydrochlorothiazide"/>
    <s v="Antihypertensives"/>
    <n v="346"/>
    <n v="130"/>
    <n v="0"/>
    <n v="7"/>
    <x v="0"/>
  </r>
  <r>
    <s v="MED082"/>
    <s v="Bilastine 20mg"/>
    <s v="Antihistamines"/>
    <n v="244"/>
    <n v="80"/>
    <n v="0"/>
    <n v="18"/>
    <x v="0"/>
  </r>
  <r>
    <s v="MED083"/>
    <s v="Montelukast 10mg"/>
    <s v="Antihistamines"/>
    <n v="0"/>
    <n v="100"/>
    <n v="100"/>
    <n v="100"/>
    <x v="2"/>
  </r>
  <r>
    <s v="MED084"/>
    <s v="Ebastine 10mg"/>
    <s v="Antihistamines"/>
    <n v="705"/>
    <n v="120"/>
    <n v="0"/>
    <n v="8"/>
    <x v="0"/>
  </r>
  <r>
    <s v="MED085"/>
    <s v="Alcohol 70%"/>
    <s v="Antiseptics"/>
    <n v="0"/>
    <n v="80"/>
    <n v="80"/>
    <n v="80"/>
    <x v="2"/>
  </r>
  <r>
    <s v="MED086"/>
    <s v="Chlorhexidine"/>
    <s v="Antiseptics"/>
    <n v="1017"/>
    <n v="50"/>
    <n v="0"/>
    <n v="6"/>
    <x v="0"/>
  </r>
  <r>
    <s v="MED087"/>
    <s v="Levosalbutamol"/>
    <s v="Cough &amp; Cold"/>
    <n v="1322"/>
    <n v="60"/>
    <n v="0"/>
    <n v="6"/>
    <x v="0"/>
  </r>
  <r>
    <s v="MED088"/>
    <s v="Codeine Linctus"/>
    <s v="Cough &amp; Cold"/>
    <n v="531"/>
    <n v="50"/>
    <n v="0"/>
    <n v="20"/>
    <x v="0"/>
  </r>
  <r>
    <s v="MED089"/>
    <s v="Ipratropium"/>
    <s v="Cough &amp; Cold"/>
    <n v="241"/>
    <n v="20"/>
    <n v="0"/>
    <n v="23"/>
    <x v="0"/>
  </r>
  <r>
    <s v="MED090"/>
    <s v="Mupirocin Ointment"/>
    <s v="Skin Care"/>
    <n v="248"/>
    <n v="50"/>
    <n v="0"/>
    <n v="23"/>
    <x v="0"/>
  </r>
  <r>
    <s v="MED091"/>
    <s v="Tretinoin Cream"/>
    <s v="Skin Care"/>
    <n v="159"/>
    <n v="40"/>
    <n v="0"/>
    <n v="0"/>
    <x v="0"/>
  </r>
  <r>
    <s v="MED092"/>
    <s v="Nystatin Ointment"/>
    <s v="Skin Care"/>
    <n v="357"/>
    <n v="60"/>
    <n v="0"/>
    <n v="17"/>
    <x v="0"/>
  </r>
  <r>
    <s v="MED093"/>
    <s v="Mometasone Cream"/>
    <s v="Skin Care"/>
    <n v="156"/>
    <n v="40"/>
    <n v="0"/>
    <n v="16"/>
    <x v="0"/>
  </r>
  <r>
    <s v="MED094"/>
    <s v="Terbinafine Cream"/>
    <s v="Skin Care"/>
    <n v="238"/>
    <n v="60"/>
    <n v="0"/>
    <n v="16"/>
    <x v="0"/>
  </r>
  <r>
    <s v="MED095"/>
    <s v="Clobetasol Cream"/>
    <s v="Skin Care"/>
    <n v="306"/>
    <n v="50"/>
    <n v="0"/>
    <n v="6"/>
    <x v="0"/>
  </r>
  <r>
    <s v="MED096"/>
    <s v="Tacrolimus Ointment"/>
    <s v="Skin Care"/>
    <n v="210"/>
    <n v="25"/>
    <n v="0"/>
    <n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F7EA90-E596-42AA-AC06-DC51E3466664}" name="PivotTable6" cacheId="588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27:B32" firstHeaderRow="1" firstDataRow="1" firstDataCol="1"/>
  <pivotFields count="8"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5">
        <item x="2"/>
        <item x="3"/>
        <item x="1"/>
        <item x="0"/>
        <item t="default"/>
      </items>
    </pivotField>
  </pivotFields>
  <rowFields count="1">
    <field x="7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Medicine_Name" fld="1" subtotal="count" baseField="0" baseItem="0"/>
  </dataFields>
  <chartFormats count="4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48B530-7C6B-4C40-BC84-A6F063F75569}" name="PivotTable5" cacheId="586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7">
  <location ref="A21:B25" firstHeaderRow="1" firstDataRow="1" firstDataCol="1"/>
  <pivotFields count="15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4">
        <item x="0"/>
        <item x="1"/>
        <item x="2"/>
        <item t="default"/>
      </items>
    </pivotField>
    <pivotField compact="0" outline="0" showAll="0"/>
    <pivotField compact="0" outline="0" showAll="0"/>
  </pivotFields>
  <rowFields count="1">
    <field x="1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_Revenue_PKR" fld="8" baseField="0" baseItem="0"/>
  </dataFields>
  <chartFormats count="24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3" format="3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3" format="4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4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6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4" format="7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4" format="8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5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0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5" format="1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5" format="12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6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4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6" format="15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6" format="16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5DC5FF-6202-45B0-8569-0A8821227E25}" name="PivotTable1" cacheId="586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8:B19" firstHeaderRow="1" firstDataRow="1" firstDataCol="1"/>
  <pivotFields count="15"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measureFilter="1" sortType="ascending">
      <items count="58">
        <item x="56"/>
        <item x="10"/>
        <item x="49"/>
        <item x="14"/>
        <item x="23"/>
        <item x="19"/>
        <item x="18"/>
        <item x="38"/>
        <item x="39"/>
        <item x="52"/>
        <item x="43"/>
        <item x="4"/>
        <item x="34"/>
        <item x="1"/>
        <item x="7"/>
        <item x="5"/>
        <item x="37"/>
        <item x="44"/>
        <item x="51"/>
        <item x="41"/>
        <item x="11"/>
        <item x="29"/>
        <item x="35"/>
        <item x="9"/>
        <item x="2"/>
        <item x="8"/>
        <item x="32"/>
        <item x="53"/>
        <item x="21"/>
        <item x="12"/>
        <item x="26"/>
        <item x="16"/>
        <item x="17"/>
        <item x="50"/>
        <item x="54"/>
        <item x="46"/>
        <item x="3"/>
        <item x="33"/>
        <item x="48"/>
        <item x="42"/>
        <item x="36"/>
        <item x="40"/>
        <item x="13"/>
        <item x="30"/>
        <item x="25"/>
        <item x="24"/>
        <item x="22"/>
        <item x="27"/>
        <item x="0"/>
        <item x="47"/>
        <item x="28"/>
        <item x="31"/>
        <item x="55"/>
        <item x="20"/>
        <item x="15"/>
        <item x="45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4"/>
  </rowFields>
  <rowItems count="11">
    <i>
      <x v="31"/>
    </i>
    <i>
      <x v="15"/>
    </i>
    <i>
      <x v="37"/>
    </i>
    <i>
      <x v="47"/>
    </i>
    <i>
      <x v="53"/>
    </i>
    <i>
      <x v="12"/>
    </i>
    <i>
      <x v="29"/>
    </i>
    <i>
      <x v="11"/>
    </i>
    <i>
      <x v="3"/>
    </i>
    <i>
      <x v="54"/>
    </i>
    <i t="grand">
      <x/>
    </i>
  </rowItems>
  <colItems count="1">
    <i/>
  </colItems>
  <dataFields count="1">
    <dataField name="Sum of Quantity" fld="6" baseField="0" baseItem="0"/>
  </dataFields>
  <chartFormats count="4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4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9AE4B4-BEC7-456F-8433-D42DF725F474}" name="PivotTable2" cacheId="578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1:B6" firstHeaderRow="1" firstDataRow="1" firstDataCol="1"/>
  <pivotFields count="15">
    <pivotField compact="0" outline="0" showAll="0"/>
    <pivotField axis="axisRow" compact="0" outline="0" showAll="0">
      <items count="5">
        <item x="3"/>
        <item x="1"/>
        <item x="2"/>
        <item x="0"/>
        <item t="default"/>
      </items>
    </pivotField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3" outline="0" showAll="0"/>
    <pivotField dataField="1" compact="0" numFmtId="3" outline="0" showAll="0"/>
    <pivotField compact="0" numFmtId="3" outline="0" showAll="0"/>
    <pivotField compact="0" numFmtId="3" outline="0" showAll="0"/>
    <pivotField compact="0" numFmtId="3" outline="0" showAll="0"/>
    <pivotField compact="0" outline="0" showAll="0"/>
    <pivotField compact="0" numFmtId="3" outline="0" showAll="0"/>
    <pivotField compact="0" numFmtId="3" outline="0"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otal_Revenue_PKR" fld="8" baseField="0" baseItem="0" numFmtId="3"/>
  </dataFields>
  <chartFormats count="4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CC61E09-D6A1-4FA1-B2B4-D23232E095B9}" name="Table2" displayName="Table2" ref="A1:L97" totalsRowShown="0" headerRowDxfId="132" headerRowBorderDxfId="130" tableBorderDxfId="131" totalsRowBorderDxfId="129">
  <autoFilter ref="A1:L97" xr:uid="{5CC61E09-D6A1-4FA1-B2B4-D23232E095B9}"/>
  <tableColumns count="12">
    <tableColumn id="1" xr3:uid="{8969BD7D-2474-45C7-B643-5430842AE29C}" name="Med_ID" dataDxfId="128"/>
    <tableColumn id="2" xr3:uid="{CAF01861-0C26-44E8-8749-5491C49161EA}" name="Medicine_Name" dataDxfId="127"/>
    <tableColumn id="3" xr3:uid="{4C24960C-6CCE-443E-86B0-E0CA5216C980}" name="Category" dataDxfId="126"/>
    <tableColumn id="4" xr3:uid="{599D0CED-A8BB-490A-AF29-351BFB826D16}" name="Form" dataDxfId="125"/>
    <tableColumn id="5" xr3:uid="{847180F0-99F9-43A7-926E-5986B3D0E1BB}" name="Sale_Price_PKR" dataDxfId="124"/>
    <tableColumn id="6" xr3:uid="{4F6F2FA5-E2AC-4D93-BE1E-57D3382DC037}" name="Cost_Price_PKR" dataDxfId="123"/>
    <tableColumn id="7" xr3:uid="{3F492437-E939-42B7-90B8-54B0464A7172}" name="Reorder_Level" dataDxfId="122"/>
    <tableColumn id="8" xr3:uid="{C4ACFAA6-1918-45EB-9C9D-771EDFC1D7DC}" name="Expiry_Date" dataDxfId="121"/>
    <tableColumn id="9" xr3:uid="{EB592170-B15D-45FF-B7A5-86F95131EC83}" name="Manufacturer" dataDxfId="120"/>
    <tableColumn id="10" xr3:uid="{3B689015-F0D6-4A0C-90F1-1A742569BA19}" name="Pack_Size" dataDxfId="119"/>
    <tableColumn id="11" xr3:uid="{B406423D-F71B-419F-A8A8-0ACBB0B58682}" name="Unit" dataDxfId="118"/>
    <tableColumn id="12" xr3:uid="{1837E7EC-E7DC-4DB8-A42B-973E180012A4}" name="Status" dataDxfId="117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125C591-E53A-4ABC-8234-0975EFE3D28E}" name="Table3" displayName="Table3" ref="A1:L97" totalsRowShown="0" headerRowDxfId="114" headerRowBorderDxfId="112" tableBorderDxfId="113" totalsRowBorderDxfId="111">
  <autoFilter ref="A1:L97" xr:uid="{0125C591-E53A-4ABC-8234-0975EFE3D28E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</autoFilter>
  <tableColumns count="12">
    <tableColumn id="1" xr3:uid="{AD5A57BC-E566-4904-9886-AE335C93775C}" name="Purchase_ID" dataDxfId="110"/>
    <tableColumn id="2" xr3:uid="{7BAFF4FF-C93A-4BF8-A34F-899F29AE7393}" name="Date" dataDxfId="109"/>
    <tableColumn id="3" xr3:uid="{99F45E1B-014D-4D85-A86D-DC15683B77F1}" name="Med_ID" dataDxfId="108"/>
    <tableColumn id="4" xr3:uid="{561130A0-BADF-44DD-9477-1B86F603EC06}" name="Medicine_Name" dataDxfId="107"/>
    <tableColumn id="5" xr3:uid="{3A83E34D-0E5F-4AA2-B294-778944D154A0}" name="Supplier" dataDxfId="106"/>
    <tableColumn id="6" xr3:uid="{BBB216BC-03DD-4259-9000-69BC5C2EEB6F}" name="Quantity" dataDxfId="105"/>
    <tableColumn id="7" xr3:uid="{DB0A0F6E-7A9C-45DA-952F-B77AE7032376}" name="Cost_Price_PKR" dataDxfId="104"/>
    <tableColumn id="8" xr3:uid="{DC6C7206-5646-4E23-BD22-DA0BB8F9BA7E}" name="Total_Cost_PKR" dataDxfId="103">
      <calculatedColumnFormula>F2*G2</calculatedColumnFormula>
    </tableColumn>
    <tableColumn id="9" xr3:uid="{02A95E50-4C63-449C-94F1-E22D6399D4EB}" name="Invoice_No" dataDxfId="102"/>
    <tableColumn id="10" xr3:uid="{83C7A09E-B653-4ECB-9A65-92997BD40110}" name="Batch_No" dataDxfId="101"/>
    <tableColumn id="11" xr3:uid="{D160FEA9-9F26-463D-AA7F-D82C25F9EC7E}" name="Expiry_Date" dataDxfId="100"/>
    <tableColumn id="12" xr3:uid="{8BF44A0F-E508-4A06-9F9C-FCFB660467FB}" name="Payment_Status" dataDxfId="99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FF703F4-5EF5-44FE-88B6-28F7AE870D32}" name="Table4" displayName="Table4" ref="A1:O97" totalsRowShown="0" headerRowDxfId="95" dataDxfId="94" headerRowBorderDxfId="92" tableBorderDxfId="93" totalsRowBorderDxfId="91">
  <autoFilter ref="A1:O97" xr:uid="{6FF703F4-5EF5-44FE-88B6-28F7AE870D3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xr3:uid="{B45867DD-50CA-4698-9A1B-EC2682BF95F8}" name="Sale_ID" dataDxfId="90"/>
    <tableColumn id="15" xr3:uid="{B2ACE94A-53EE-40CC-8A52-ADF0B868E8A5}" name="Month" dataDxfId="89">
      <calculatedColumnFormula>TEXT(C2,"mmm yyyy")</calculatedColumnFormula>
    </tableColumn>
    <tableColumn id="2" xr3:uid="{95AAD3E5-5C86-4D90-A126-60568FFAA9C2}" name="Date" dataDxfId="88"/>
    <tableColumn id="3" xr3:uid="{0491F312-09DA-4C1B-AF15-9734A233B52E}" name="Med_ID" dataDxfId="87"/>
    <tableColumn id="4" xr3:uid="{7BE269F7-F455-4804-B4A1-BDCBCF313A87}" name="Medicine_Name" dataDxfId="86"/>
    <tableColumn id="5" xr3:uid="{B06E3A95-E05A-4C4F-ABFF-EEA74C7F8BC2}" name="Customer_Name" dataDxfId="85"/>
    <tableColumn id="6" xr3:uid="{9BA5DFA6-EAFD-4A2F-9342-C2D49459587C}" name="Quantity" dataDxfId="84"/>
    <tableColumn id="7" xr3:uid="{87107D8C-8ED9-44DB-99CE-4E7E717CD68F}" name="Sale_Price_PKR" dataDxfId="83"/>
    <tableColumn id="8" xr3:uid="{56202FF1-1FCF-4FF7-8BB4-9D6B214B69BC}" name="Total_Revenue_PKR" dataDxfId="82">
      <calculatedColumnFormula>G2*H2</calculatedColumnFormula>
    </tableColumn>
    <tableColumn id="9" xr3:uid="{C3B08579-EF80-4FC3-A831-BA13946263C1}" name="Cost_Price_PKR" dataDxfId="81"/>
    <tableColumn id="10" xr3:uid="{682571F6-D330-49E7-B2F1-DE82F0DA8B31}" name="Total_Cost_PKR" dataDxfId="80">
      <calculatedColumnFormula>G2*J2</calculatedColumnFormula>
    </tableColumn>
    <tableColumn id="11" xr3:uid="{2E7EB67E-E5B9-41D1-AA59-C4258A175B27}" name="Gross_Profit_PKR" dataDxfId="79">
      <calculatedColumnFormula>I2-K2</calculatedColumnFormula>
    </tableColumn>
    <tableColumn id="12" xr3:uid="{C586C867-745C-4DDF-86EA-75D2C3F699ED}" name="Payment_Type"/>
    <tableColumn id="13" xr3:uid="{A7ADAD35-41FE-4EA2-B553-F287EF10D3D0}" name="Amount_Paid" dataDxfId="78"/>
    <tableColumn id="14" xr3:uid="{C1D164B8-84E8-456A-B12C-6CE1312399C9}" name="Balance_Due" dataDxfId="77">
      <calculatedColumnFormula>I2-N2</calculatedColumnFormula>
    </tableColumn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FDB1D8C-C7E1-4C3D-A8CA-79DCF24A5BB0}" name="Table5" displayName="Table5" ref="A1:O97" totalsRowShown="0" headerRowDxfId="71" dataDxfId="70" headerRowBorderDxfId="68" tableBorderDxfId="69" totalsRowBorderDxfId="67">
  <autoFilter ref="A1:O97" xr:uid="{0FDB1D8C-C7E1-4C3D-A8CA-79DCF24A5BB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xr3:uid="{CD606BDE-203A-44D5-8C7D-2612D9AB8908}" name="Med_ID" dataDxfId="66"/>
    <tableColumn id="2" xr3:uid="{CBF33C2B-1728-4CFF-9470-6245319A1DC9}" name="Medicine_Name" dataDxfId="65"/>
    <tableColumn id="3" xr3:uid="{199DB93A-BF80-481A-A22D-291D8B0B6C42}" name="Category" dataDxfId="64"/>
    <tableColumn id="4" xr3:uid="{7DE0DBAE-502A-4484-8671-59F8E7EA8AB1}" name="Cost_Price_PKR" dataDxfId="63"/>
    <tableColumn id="5" xr3:uid="{9712B7F9-C6F6-49A0-907C-0669C4450464}" name="Sale_Price_PKR" dataDxfId="62"/>
    <tableColumn id="6" xr3:uid="{92D50138-7AD8-488E-A10D-1009258C4148}" name="Total_Purchased" dataDxfId="61">
      <calculatedColumnFormula>IFERROR(SUMIF(Purchase_Entry!C:C,A2,Purchase_Entry!F:F),0)</calculatedColumnFormula>
    </tableColumn>
    <tableColumn id="7" xr3:uid="{D64C1D48-EBB6-49CF-9B7D-965AB9CA3D92}" name="Total_Sold" dataDxfId="60">
      <calculatedColumnFormula>IFERROR(SUMIF(Sales_Entry!D:D,A2,Sales_Entry!G:G),0)</calculatedColumnFormula>
    </tableColumn>
    <tableColumn id="8" xr3:uid="{063E1C85-3831-4825-917C-69CF13C954CE}" name="Current_Stock" dataDxfId="59">
      <calculatedColumnFormula>F2-G2</calculatedColumnFormula>
    </tableColumn>
    <tableColumn id="9" xr3:uid="{061F8B23-2E0E-464E-AF1E-39C200B391C0}" name="Reorder_Level" dataDxfId="58"/>
    <tableColumn id="10" xr3:uid="{42746534-21CE-4369-A198-5A7DAA8AEFFD}" name="Stock_Value_PKR" dataDxfId="57">
      <calculatedColumnFormula>H2*D2</calculatedColumnFormula>
    </tableColumn>
    <tableColumn id="11" xr3:uid="{C9349345-CC20-4027-8DB5-4ADE22ADB21A}" name="Days_to_Expiry" dataDxfId="56">
      <calculatedColumnFormula>IFERROR(Medicine_Master!H2-TODAY(),"")</calculatedColumnFormula>
    </tableColumn>
    <tableColumn id="12" xr3:uid="{13CC77C3-FB4C-4CF9-AC03-C97C184FC733}" name="Expiry_Status" dataDxfId="55">
      <calculatedColumnFormula>IFERROR(IF(Medicine_Master!H2&lt;TODAY(),"EXPIRED",IF(Medicine_Master!H2-TODAY()&lt;30,"URGENT",IF(Medicine_Master!H2-TODAY()&lt;60,"WARNING","OK"))),"OK")</calculatedColumnFormula>
    </tableColumn>
    <tableColumn id="13" xr3:uid="{DFF5A399-55CD-4D9A-83CF-0C78BD71CBF6}" name="Reorder_Needed" dataDxfId="54">
      <calculatedColumnFormula>IF(H2&lt;I2,"YES","NO")</calculatedColumnFormula>
    </tableColumn>
    <tableColumn id="14" xr3:uid="{0C221E83-6341-4E68-8B0F-8426BACABCAA}" name="Suggested_Order_Qty" dataDxfId="53">
      <calculatedColumnFormula>IFERROR(IF(H2&lt;I2,MAX(I2-H2,ROUNDUP(SUMIF(Sales_Entry!D:D,A2,Sales_Entry!G:G)/90*30,0)),0),0)</calculatedColumnFormula>
    </tableColumn>
    <tableColumn id="15" xr3:uid="{C92F4C44-6A0D-4A6A-A072-C6884FE91C43}" name="Movement_Status" dataDxfId="52">
      <calculatedColumnFormula>IFERROR(IF(SUMIF(Sales_Entry!C:C,"&gt;="&amp;(TODAY()-60),Sales_Entry!G:G)=0,"Slow Moving","Active"),"Active")</calculatedColumnFormula>
    </tableColumn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0382235-C190-4CA5-9B7C-5C96BFD41AC6}" name="Table7" displayName="Table7" ref="A2:I98" totalsRowShown="0" headerRowDxfId="47" headerRowBorderDxfId="45" tableBorderDxfId="46" totalsRowBorderDxfId="44">
  <autoFilter ref="A2:I98" xr:uid="{C0382235-C190-4CA5-9B7C-5C96BFD41AC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5538DCB3-DF3C-43B8-84CD-8725938AF9DA}" name="Med_ID" dataDxfId="43"/>
    <tableColumn id="2" xr3:uid="{C8AFAF40-021B-4D88-88F8-3DDDADC563E8}" name="Medicine_Name" dataDxfId="42"/>
    <tableColumn id="3" xr3:uid="{1E0570AA-C66E-42D3-8989-FD812375787D}" name="Category" dataDxfId="41"/>
    <tableColumn id="4" xr3:uid="{C0E26EAE-7770-46C2-87D5-D4C5E184959D}" name="Current_Stock" dataDxfId="40">
      <calculatedColumnFormula>IFERROR(SUMIF(Purchase_Entry!C:C,A3,Purchase_Entry!F:F)-SUMIF(Sales_Entry!D:D,A3,Sales_Entry!G:G),0)</calculatedColumnFormula>
    </tableColumn>
    <tableColumn id="5" xr3:uid="{2E7C1E17-123E-4801-AD4E-C08D765410B3}" name="Expiry_Date" dataDxfId="39"/>
    <tableColumn id="6" xr3:uid="{35A8BE55-7F8B-493B-8230-F3504A03F246}" name="Days_Remaining" dataDxfId="38">
      <calculatedColumnFormula>IFERROR(Medicine_Master!H2-TODAY(),"")</calculatedColumnFormula>
    </tableColumn>
    <tableColumn id="7" xr3:uid="{4128F272-BD9A-4C95-BF3B-3B52087327C6}" name="Expiry_Status" dataDxfId="37">
      <calculatedColumnFormula>IFERROR(IF(Medicine_Master!H2&lt;TODAY(),"EXPIRED",IF(Medicine_Master!H2-TODAY()&lt;30,"URGENT",IF(Medicine_Master!H2-TODAY()&lt;60,"WARNING","OK"))),"OK")</calculatedColumnFormula>
    </tableColumn>
    <tableColumn id="8" xr3:uid="{7BEDB908-ABFB-44B8-B6F2-7C2C685FCC84}" name="Cost_Price_PKR" dataDxfId="36"/>
    <tableColumn id="9" xr3:uid="{57AB7D98-9729-49E6-B0F8-F740CA7B19B1}" name="Financial_Risk_PKR" dataDxfId="35">
      <calculatedColumnFormula>IFERROR(D3*H3,0)</calculatedColumnFormula>
    </tableColumn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B7FEC1F-6A9B-486B-98DB-73EE2AAFAD51}" name="Table6" displayName="Table6" ref="A2:H98" totalsRowShown="0" headerRowDxfId="30" dataDxfId="29" headerRowBorderDxfId="27" tableBorderDxfId="28" totalsRowBorderDxfId="26">
  <autoFilter ref="A2:H98" xr:uid="{5B7FEC1F-6A9B-486B-98DB-73EE2AAFAD51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D737DA5A-6B9C-4FC7-8BDA-52E998907B05}" name="Med_ID" dataDxfId="25"/>
    <tableColumn id="2" xr3:uid="{609F57FB-E3E8-4D7A-A2CE-D9A9AE7FDD8E}" name="Medicine_Name" dataDxfId="24"/>
    <tableColumn id="3" xr3:uid="{0E02E1A4-4D0D-4C8E-AD64-92931382DA52}" name="Category" dataDxfId="23"/>
    <tableColumn id="4" xr3:uid="{C97E3018-FE23-4A6C-B436-40FA09BDBDA9}" name="Current_Stock" dataDxfId="22">
      <calculatedColumnFormula>IFERROR(SUMIF(Purchase_Entry!C:C,A3,Purchase_Entry!F:F)-SUMIF(Sales_Entry!D:D,A3,Sales_Entry!G:G),0)</calculatedColumnFormula>
    </tableColumn>
    <tableColumn id="5" xr3:uid="{39E79DBF-BD7B-4909-8269-6FAFE2D6FA7C}" name="Reorder_Level" dataDxfId="21"/>
    <tableColumn id="6" xr3:uid="{E94E89CE-543F-4099-8368-82187CC844AF}" name="Shortage" dataDxfId="20">
      <calculatedColumnFormula>MAX(0,E3-D3)</calculatedColumnFormula>
    </tableColumn>
    <tableColumn id="7" xr3:uid="{213EE14F-721A-45DB-81F8-C4E6647855F2}" name="Suggested_Order" dataDxfId="19">
      <calculatedColumnFormula>IFERROR(MAX(E3-D3,ROUNDUP(SUMIF(Sales_Entry!D:D,A3,Sales_Entry!G:G)/90*30,0)),0)</calculatedColumnFormula>
    </tableColumn>
    <tableColumn id="8" xr3:uid="{D1AF38DB-BFD6-4290-A065-0C826E73D740}" name="Priority" dataDxfId="18">
      <calculatedColumnFormula>IF(D3=0,"CRITICAL",IF(D3&lt;E3/2,"HIGH",IF(D3&lt;E3,"MEDIUM","OK")))</calculatedColumnFormula>
    </tableColumn>
  </tableColumns>
  <tableStyleInfo name="TableStyleLight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EC2D306-AE6E-481F-9019-502BC65D4FE0}" name="Table1" displayName="Table1" ref="A2:J27" totalsRowShown="0" headerRowDxfId="13" headerRowBorderDxfId="11" tableBorderDxfId="12" totalsRowBorderDxfId="10">
  <autoFilter ref="A2:J27" xr:uid="{EEC2D306-AE6E-481F-9019-502BC65D4FE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xr3:uid="{7614AADC-A6C9-46F1-8192-5CC023CED1E5}" name="Sale_ID" dataDxfId="9"/>
    <tableColumn id="2" xr3:uid="{18C2A8CC-32FC-4E0B-8016-3CF7BDBD1FA3}" name="Date" dataDxfId="8"/>
    <tableColumn id="3" xr3:uid="{C9410009-3568-4F83-A8BA-6F97D5F07ADE}" name="Customer_Name" dataDxfId="7"/>
    <tableColumn id="4" xr3:uid="{2A9633A2-74CA-477D-BF21-DE7E716F2CF6}" name="Medicine_Name" dataDxfId="6"/>
    <tableColumn id="5" xr3:uid="{2E6094C9-379F-45AF-B82D-DF41644960A9}" name="Total_Amount_PKR" dataDxfId="5"/>
    <tableColumn id="6" xr3:uid="{DC4F8EAF-7B93-43C5-ABD1-DF7B09140445}" name="Amount_Paid_PKR" dataDxfId="4"/>
    <tableColumn id="7" xr3:uid="{59939952-5A3A-4088-A074-4B89B5A6F7B9}" name="Balance_Due_PKR" dataDxfId="3"/>
    <tableColumn id="8" xr3:uid="{3201FFE1-F98C-42B6-BBC3-5D2A367579CD}" name="Days_Outstanding" dataDxfId="2"/>
    <tableColumn id="9" xr3:uid="{2F595AE7-2A3C-416F-A20E-8FE810A12E03}" name="Aging_Category" dataDxfId="1"/>
    <tableColumn id="10" xr3:uid="{490C333A-0E3F-49D1-926D-5FCBA995488C}" name="Collection_Status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41"/>
  <sheetViews>
    <sheetView showGridLines="0" zoomScaleNormal="100" workbookViewId="0">
      <selection activeCell="J63" sqref="J63"/>
    </sheetView>
  </sheetViews>
  <sheetFormatPr defaultColWidth="8.7109375" defaultRowHeight="15"/>
  <cols>
    <col min="1" max="11" width="14" style="1" customWidth="1"/>
    <col min="12" max="12" width="20.5703125" style="1" customWidth="1"/>
    <col min="13" max="14" width="14" style="1" customWidth="1"/>
    <col min="15" max="15" width="20.5703125" style="1" customWidth="1"/>
    <col min="16" max="21" width="14" style="1" customWidth="1"/>
  </cols>
  <sheetData>
    <row r="1" spans="1:21" ht="27.75" customHeight="1">
      <c r="A1" s="89" t="s">
        <v>0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</row>
    <row r="2" spans="1:21" ht="27.75" customHeight="1">
      <c r="A2" s="89"/>
      <c r="B2" s="89"/>
      <c r="C2" s="89"/>
      <c r="D2" s="89"/>
      <c r="E2" s="89"/>
      <c r="F2" s="89"/>
      <c r="G2" s="89"/>
      <c r="H2" s="89"/>
      <c r="I2" s="89"/>
      <c r="J2" s="89"/>
      <c r="K2" s="89"/>
      <c r="L2" s="89"/>
      <c r="M2" s="89"/>
      <c r="N2" s="89"/>
      <c r="O2" s="89"/>
      <c r="P2" s="89"/>
      <c r="Q2" s="89"/>
      <c r="R2" s="89"/>
      <c r="S2" s="89"/>
      <c r="T2" s="89"/>
      <c r="U2" s="89"/>
    </row>
    <row r="3" spans="1:21" ht="27.75" customHeight="1">
      <c r="A3" s="89"/>
      <c r="B3" s="89"/>
      <c r="C3" s="89"/>
      <c r="D3" s="89"/>
      <c r="E3" s="89"/>
      <c r="F3" s="89"/>
      <c r="G3" s="89"/>
      <c r="H3" s="89"/>
      <c r="I3" s="89"/>
      <c r="J3" s="89"/>
      <c r="K3" s="89"/>
      <c r="L3" s="89"/>
      <c r="M3" s="89"/>
      <c r="N3" s="89"/>
      <c r="O3" s="89"/>
      <c r="P3" s="89"/>
      <c r="Q3" s="89"/>
      <c r="R3" s="89"/>
      <c r="S3" s="89"/>
      <c r="T3" s="89"/>
      <c r="U3" s="89"/>
    </row>
    <row r="4" spans="1:21" ht="21.75" customHeight="1">
      <c r="A4" s="90" t="s">
        <v>1</v>
      </c>
      <c r="B4" s="90"/>
      <c r="C4" s="90"/>
      <c r="D4" s="90"/>
      <c r="E4" s="90"/>
      <c r="F4" s="90"/>
      <c r="G4" s="90"/>
      <c r="H4" s="90"/>
      <c r="I4" s="90"/>
      <c r="J4" s="90"/>
      <c r="K4" s="90"/>
      <c r="L4" s="90"/>
      <c r="M4" s="90"/>
      <c r="N4" s="90"/>
      <c r="O4" s="90"/>
      <c r="P4" s="90"/>
      <c r="Q4" s="90"/>
      <c r="R4" s="90"/>
      <c r="S4" s="90"/>
      <c r="T4" s="90"/>
      <c r="U4" s="90"/>
    </row>
    <row r="5" spans="1:21" ht="32.25" customHeight="1">
      <c r="A5" s="108" t="s">
        <v>2</v>
      </c>
      <c r="B5" s="108"/>
      <c r="C5" s="108"/>
      <c r="D5" s="108"/>
      <c r="E5" s="108"/>
      <c r="F5" s="108"/>
      <c r="G5" s="108"/>
      <c r="H5" s="108"/>
      <c r="I5" s="108"/>
      <c r="J5" s="108"/>
      <c r="K5" s="108"/>
      <c r="L5" s="108"/>
      <c r="M5" s="108"/>
      <c r="N5" s="108"/>
      <c r="O5" s="108"/>
      <c r="P5" s="108"/>
      <c r="Q5" s="108"/>
      <c r="R5" s="108"/>
      <c r="S5" s="108"/>
      <c r="T5" s="108"/>
      <c r="U5" s="108"/>
    </row>
    <row r="6" spans="1:21" ht="21.75" customHeight="1">
      <c r="A6" s="111" t="s">
        <v>3</v>
      </c>
      <c r="B6" s="111"/>
      <c r="C6" s="111"/>
      <c r="D6" s="111" t="s">
        <v>4</v>
      </c>
      <c r="E6" s="111"/>
      <c r="F6" s="111"/>
      <c r="G6" s="111" t="s">
        <v>5</v>
      </c>
      <c r="H6" s="111"/>
      <c r="I6" s="111"/>
      <c r="J6" s="111" t="s">
        <v>6</v>
      </c>
      <c r="K6" s="111"/>
      <c r="L6" s="111"/>
      <c r="M6" s="111" t="s">
        <v>7</v>
      </c>
      <c r="N6" s="111"/>
      <c r="O6" s="111"/>
      <c r="P6" s="111" t="s">
        <v>8</v>
      </c>
      <c r="Q6" s="111"/>
      <c r="R6" s="111"/>
      <c r="S6" s="111" t="s">
        <v>9</v>
      </c>
      <c r="T6" s="111"/>
      <c r="U6" s="111"/>
    </row>
    <row r="7" spans="1:21" ht="21.75" customHeight="1">
      <c r="A7" s="109">
        <f ca="1">IFERROR(SUMIF(Sales_Entry!C:C,TODAY(),Sales_Entry!I:I),0)</f>
        <v>0</v>
      </c>
      <c r="B7" s="109"/>
      <c r="C7" s="109"/>
      <c r="D7" s="109">
        <f ca="1">IFERROR(SUMPRODUCT((MONTH(Sales_Entry!C2:C101)=MONTH(TODAY()))*(YEAR(Sales_Entry!C2:C101)=YEAR(TODAY()))*Sales_Entry!I2:I101),0)</f>
        <v>18375</v>
      </c>
      <c r="E7" s="109"/>
      <c r="F7" s="109"/>
      <c r="G7" s="109">
        <f>IFERROR(SUM(Sales_Entry!L2:L101),0)</f>
        <v>140182</v>
      </c>
      <c r="H7" s="109"/>
      <c r="I7" s="109"/>
      <c r="J7" s="109">
        <f>IFERROR(SUMPRODUCT(Inventory_Status!H2:H101,Inventory_Status!D2:D101),0)</f>
        <v>1776045</v>
      </c>
      <c r="K7" s="109"/>
      <c r="L7" s="109"/>
      <c r="M7" s="109">
        <f>IFERROR(SUMIF(Sales_Entry!M:M,"Credit",Sales_Entry!O:O),0)</f>
        <v>62578</v>
      </c>
      <c r="N7" s="109"/>
      <c r="O7" s="109"/>
      <c r="P7" s="110">
        <f ca="1">IFERROR(COUNTIFS(Expiry_Alert!G3:G102,"URGENT")+COUNTIFS(Expiry_Alert!G3:G102,"EXPIRED"),0)</f>
        <v>13</v>
      </c>
      <c r="Q7" s="110"/>
      <c r="R7" s="110"/>
      <c r="S7" s="110">
        <f>IFERROR(COUNTIF(Low_Stock_Alert!H3:H102,"HIGH")+COUNTIF(Low_Stock_Alert!H3:H102,"CRITICAL"),0)</f>
        <v>19</v>
      </c>
      <c r="T7" s="110"/>
      <c r="U7" s="110"/>
    </row>
    <row r="8" spans="1:21" ht="21.75" customHeight="1">
      <c r="A8" s="109"/>
      <c r="B8" s="109"/>
      <c r="C8" s="109"/>
      <c r="D8" s="109"/>
      <c r="E8" s="109"/>
      <c r="F8" s="109"/>
      <c r="G8" s="109"/>
      <c r="H8" s="109"/>
      <c r="I8" s="109"/>
      <c r="J8" s="109"/>
      <c r="K8" s="109"/>
      <c r="L8" s="109"/>
      <c r="M8" s="109"/>
      <c r="N8" s="109"/>
      <c r="O8" s="109"/>
      <c r="P8" s="110"/>
      <c r="Q8" s="110"/>
      <c r="R8" s="110"/>
      <c r="S8" s="110"/>
      <c r="T8" s="110"/>
      <c r="U8" s="110"/>
    </row>
    <row r="9" spans="1:21" ht="21.75" customHeight="1">
      <c r="A9" s="88"/>
      <c r="B9" s="88"/>
      <c r="C9" s="88"/>
      <c r="D9" s="88"/>
      <c r="E9" s="88"/>
      <c r="F9" s="88"/>
      <c r="G9" s="88"/>
      <c r="H9" s="88"/>
      <c r="I9" s="88"/>
      <c r="J9" s="88"/>
      <c r="K9" s="88"/>
      <c r="L9" s="88"/>
      <c r="M9" s="88"/>
      <c r="N9" s="88"/>
      <c r="O9" s="88"/>
      <c r="P9" s="88"/>
      <c r="Q9" s="88"/>
      <c r="R9" s="88"/>
      <c r="S9" s="88"/>
      <c r="T9" s="88"/>
      <c r="U9" s="88"/>
    </row>
    <row r="10" spans="1:21" ht="21.75" customHeight="1"/>
    <row r="11" spans="1:21" ht="21.75" customHeight="1"/>
    <row r="12" spans="1:21" ht="21.75" customHeight="1"/>
    <row r="13" spans="1:21" ht="21.75" customHeight="1"/>
    <row r="14" spans="1:21" ht="21.75" customHeight="1"/>
    <row r="15" spans="1:21" ht="21.75" customHeight="1"/>
    <row r="16" spans="1:21" ht="21.75" customHeight="1"/>
    <row r="17" spans="22:22" ht="21.75" customHeight="1"/>
    <row r="18" spans="22:22" ht="21.75" customHeight="1"/>
    <row r="19" spans="22:22" ht="21.75" customHeight="1"/>
    <row r="20" spans="22:22" ht="21.75" customHeight="1"/>
    <row r="21" spans="22:22" ht="21.75" customHeight="1"/>
    <row r="22" spans="22:22" ht="21.75" customHeight="1"/>
    <row r="23" spans="22:22" ht="21.75" customHeight="1"/>
    <row r="24" spans="22:22" ht="21.75" customHeight="1"/>
    <row r="25" spans="22:22" ht="21.75" customHeight="1"/>
    <row r="26" spans="22:22" ht="21.75" customHeight="1"/>
    <row r="27" spans="22:22" ht="21.75" customHeight="1"/>
    <row r="28" spans="22:22" ht="21.75" customHeight="1"/>
    <row r="29" spans="22:22" ht="21.75" customHeight="1">
      <c r="V29" s="1"/>
    </row>
    <row r="30" spans="22:22" ht="21.75" customHeight="1">
      <c r="V30" s="1"/>
    </row>
    <row r="31" spans="22:22" ht="21.75" customHeight="1">
      <c r="V31" s="1"/>
    </row>
    <row r="32" spans="22:22" ht="21.75" customHeight="1">
      <c r="V32" s="1"/>
    </row>
    <row r="33" spans="22:22" ht="21.75" customHeight="1">
      <c r="V33" s="1"/>
    </row>
    <row r="34" spans="22:22" ht="21.75" customHeight="1">
      <c r="V34" s="1"/>
    </row>
    <row r="35" spans="22:22" ht="21.75" customHeight="1">
      <c r="V35" s="1"/>
    </row>
    <row r="36" spans="22:22" ht="21.75" customHeight="1">
      <c r="V36" s="1"/>
    </row>
    <row r="37" spans="22:22" ht="21.75" customHeight="1">
      <c r="V37" s="1"/>
    </row>
    <row r="38" spans="22:22" ht="21.75" customHeight="1">
      <c r="V38" s="1"/>
    </row>
    <row r="39" spans="22:22" ht="15" customHeight="1">
      <c r="V39" s="1"/>
    </row>
    <row r="40" spans="22:22" ht="15" customHeight="1">
      <c r="V40" s="1"/>
    </row>
    <row r="41" spans="22:22" ht="15" customHeight="1">
      <c r="V41" s="1"/>
    </row>
  </sheetData>
  <mergeCells count="24">
    <mergeCell ref="A1:U3"/>
    <mergeCell ref="A4:U4"/>
    <mergeCell ref="A5:U5"/>
    <mergeCell ref="A6:C6"/>
    <mergeCell ref="D6:F6"/>
    <mergeCell ref="G6:I6"/>
    <mergeCell ref="J6:L6"/>
    <mergeCell ref="M6:O6"/>
    <mergeCell ref="P6:R6"/>
    <mergeCell ref="S6:U6"/>
    <mergeCell ref="P7:R8"/>
    <mergeCell ref="S7:U8"/>
    <mergeCell ref="A9:C9"/>
    <mergeCell ref="D9:F9"/>
    <mergeCell ref="G9:I9"/>
    <mergeCell ref="J9:L9"/>
    <mergeCell ref="M9:O9"/>
    <mergeCell ref="P9:R9"/>
    <mergeCell ref="S9:U9"/>
    <mergeCell ref="A7:C8"/>
    <mergeCell ref="D7:F8"/>
    <mergeCell ref="G7:I8"/>
    <mergeCell ref="J7:L8"/>
    <mergeCell ref="M7:O8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60658-9D9E-40DE-B504-6A990D5210E4}">
  <dimension ref="A1:U11"/>
  <sheetViews>
    <sheetView workbookViewId="0">
      <selection activeCell="E15" sqref="E15"/>
    </sheetView>
  </sheetViews>
  <sheetFormatPr defaultRowHeight="15"/>
  <cols>
    <col min="6" max="6" width="0" hidden="1" customWidth="1"/>
    <col min="10" max="10" width="0" hidden="1" customWidth="1"/>
    <col min="15" max="16" width="0" hidden="1" customWidth="1"/>
  </cols>
  <sheetData>
    <row r="1" spans="1:21" ht="18">
      <c r="A1" s="112" t="s">
        <v>10</v>
      </c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2"/>
      <c r="N1" s="112"/>
      <c r="O1" s="112"/>
      <c r="P1" s="112"/>
      <c r="Q1" s="112"/>
      <c r="R1" s="112"/>
      <c r="S1" s="112"/>
      <c r="T1" s="112"/>
      <c r="U1" s="112"/>
    </row>
    <row r="2" spans="1:21">
      <c r="A2" s="81" t="s">
        <v>11</v>
      </c>
      <c r="B2" s="81"/>
      <c r="C2" s="81"/>
      <c r="D2" s="81"/>
      <c r="E2" s="81"/>
      <c r="F2" s="81"/>
      <c r="G2" s="81"/>
      <c r="H2" s="81"/>
      <c r="I2" s="81"/>
      <c r="J2" s="81"/>
      <c r="K2" s="86">
        <f>IFERROR(SUM(Purchase_Entry!H2:H101),0)</f>
        <v>1625768</v>
      </c>
      <c r="L2" s="86"/>
      <c r="M2" s="86"/>
      <c r="N2" s="86"/>
      <c r="O2" s="86"/>
      <c r="P2" s="86"/>
      <c r="Q2" s="86"/>
      <c r="R2" s="86"/>
      <c r="S2" s="86"/>
      <c r="T2" s="86"/>
      <c r="U2" s="86"/>
    </row>
    <row r="3" spans="1:21">
      <c r="A3" s="83" t="s">
        <v>12</v>
      </c>
      <c r="B3" s="83"/>
      <c r="C3" s="83"/>
      <c r="D3" s="83"/>
      <c r="E3" s="83"/>
      <c r="F3" s="83"/>
      <c r="G3" s="83"/>
      <c r="H3" s="83"/>
      <c r="I3" s="83"/>
      <c r="J3" s="83"/>
      <c r="K3" s="85">
        <f>IFERROR(SUM(Sales_Entry!I2:I101),0)</f>
        <v>272789</v>
      </c>
      <c r="L3" s="85"/>
      <c r="M3" s="85"/>
      <c r="N3" s="85"/>
      <c r="O3" s="85"/>
      <c r="P3" s="85"/>
      <c r="Q3" s="85"/>
      <c r="R3" s="85"/>
      <c r="S3" s="85"/>
      <c r="T3" s="85"/>
      <c r="U3" s="85"/>
    </row>
    <row r="4" spans="1:21">
      <c r="A4" s="81" t="s">
        <v>13</v>
      </c>
      <c r="B4" s="81"/>
      <c r="C4" s="81"/>
      <c r="D4" s="81"/>
      <c r="E4" s="81"/>
      <c r="F4" s="81"/>
      <c r="G4" s="81"/>
      <c r="H4" s="81"/>
      <c r="I4" s="81"/>
      <c r="J4" s="81"/>
      <c r="K4" s="86">
        <f>IFERROR(SUM(Sales_Entry!K2:K101),0)</f>
        <v>132607</v>
      </c>
      <c r="L4" s="86"/>
      <c r="M4" s="86"/>
      <c r="N4" s="86"/>
      <c r="O4" s="86"/>
      <c r="P4" s="86"/>
      <c r="Q4" s="86"/>
      <c r="R4" s="86"/>
      <c r="S4" s="86"/>
      <c r="T4" s="86"/>
      <c r="U4" s="86"/>
    </row>
    <row r="5" spans="1:21">
      <c r="A5" s="83" t="s">
        <v>14</v>
      </c>
      <c r="B5" s="83"/>
      <c r="C5" s="83"/>
      <c r="D5" s="83"/>
      <c r="E5" s="83"/>
      <c r="F5" s="83"/>
      <c r="G5" s="83"/>
      <c r="H5" s="83"/>
      <c r="I5" s="83"/>
      <c r="J5" s="83"/>
      <c r="K5" s="85">
        <f>IFERROR(SUM(Sales_Entry!L2:L101),0)</f>
        <v>140182</v>
      </c>
      <c r="L5" s="85"/>
      <c r="M5" s="85"/>
      <c r="N5" s="85"/>
      <c r="O5" s="85"/>
      <c r="P5" s="85"/>
      <c r="Q5" s="85"/>
      <c r="R5" s="85"/>
      <c r="S5" s="85"/>
      <c r="T5" s="85"/>
      <c r="U5" s="85"/>
    </row>
    <row r="6" spans="1:21">
      <c r="A6" s="81" t="s">
        <v>15</v>
      </c>
      <c r="B6" s="81"/>
      <c r="C6" s="81"/>
      <c r="D6" s="81"/>
      <c r="E6" s="81"/>
      <c r="F6" s="81"/>
      <c r="G6" s="81"/>
      <c r="H6" s="81"/>
      <c r="I6" s="81"/>
      <c r="J6" s="81"/>
      <c r="K6" s="87">
        <f>IFERROR(SUM(Sales_Entry!L2:L101)/SUM(Sales_Entry!I2:I101),0)</f>
        <v>0.51388435750708428</v>
      </c>
      <c r="L6" s="87"/>
      <c r="M6" s="87"/>
      <c r="N6" s="87"/>
      <c r="O6" s="87"/>
      <c r="P6" s="87"/>
      <c r="Q6" s="87"/>
      <c r="R6" s="87"/>
      <c r="S6" s="87"/>
      <c r="T6" s="87"/>
      <c r="U6" s="87"/>
    </row>
    <row r="7" spans="1:21">
      <c r="A7" s="83" t="s">
        <v>16</v>
      </c>
      <c r="B7" s="83"/>
      <c r="C7" s="83"/>
      <c r="D7" s="83"/>
      <c r="E7" s="83"/>
      <c r="F7" s="83"/>
      <c r="G7" s="83"/>
      <c r="H7" s="83"/>
      <c r="I7" s="83"/>
      <c r="J7" s="83"/>
      <c r="K7" s="85">
        <f>IFERROR(SUMIF(Sales_Entry!M:M,"Cash",Sales_Entry!I:I),0)</f>
        <v>194186</v>
      </c>
      <c r="L7" s="85"/>
      <c r="M7" s="85"/>
      <c r="N7" s="85"/>
      <c r="O7" s="85"/>
      <c r="P7" s="85"/>
      <c r="Q7" s="85"/>
      <c r="R7" s="85"/>
      <c r="S7" s="85"/>
      <c r="T7" s="85"/>
      <c r="U7" s="85"/>
    </row>
    <row r="8" spans="1:21">
      <c r="A8" s="81" t="s">
        <v>17</v>
      </c>
      <c r="B8" s="81"/>
      <c r="C8" s="81"/>
      <c r="D8" s="81"/>
      <c r="E8" s="81"/>
      <c r="F8" s="81"/>
      <c r="G8" s="81"/>
      <c r="H8" s="81"/>
      <c r="I8" s="81"/>
      <c r="J8" s="81"/>
      <c r="K8" s="86">
        <f>IFERROR(SUMIF(Sales_Entry!M:M,"Credit",Sales_Entry!I:I),0)</f>
        <v>78603</v>
      </c>
      <c r="L8" s="86"/>
      <c r="M8" s="86"/>
      <c r="N8" s="86"/>
      <c r="O8" s="86"/>
      <c r="P8" s="86"/>
      <c r="Q8" s="86"/>
      <c r="R8" s="86"/>
      <c r="S8" s="86"/>
      <c r="T8" s="86"/>
      <c r="U8" s="86"/>
    </row>
    <row r="9" spans="1:21">
      <c r="A9" s="83" t="s">
        <v>18</v>
      </c>
      <c r="B9" s="83"/>
      <c r="C9" s="83"/>
      <c r="D9" s="83"/>
      <c r="E9" s="83"/>
      <c r="F9" s="83"/>
      <c r="G9" s="83"/>
      <c r="H9" s="83"/>
      <c r="I9" s="83"/>
      <c r="J9" s="83"/>
      <c r="K9" s="85">
        <f>IFERROR(SUMIF(Sales_Entry!M:M,"Credit",Sales_Entry!O:O),0)</f>
        <v>62578</v>
      </c>
      <c r="L9" s="85"/>
      <c r="M9" s="85"/>
      <c r="N9" s="85"/>
      <c r="O9" s="85"/>
      <c r="P9" s="85"/>
      <c r="Q9" s="85"/>
      <c r="R9" s="85"/>
      <c r="S9" s="85"/>
      <c r="T9" s="85"/>
      <c r="U9" s="85"/>
    </row>
    <row r="10" spans="1:21">
      <c r="A10" s="81" t="s">
        <v>19</v>
      </c>
      <c r="B10" s="81"/>
      <c r="C10" s="81"/>
      <c r="D10" s="81"/>
      <c r="E10" s="81"/>
      <c r="F10" s="81"/>
      <c r="G10" s="81"/>
      <c r="H10" s="81"/>
      <c r="I10" s="81"/>
      <c r="J10" s="81"/>
      <c r="K10" s="82">
        <f>COUNTA(Medicine_Master!A2:A101)</f>
        <v>96</v>
      </c>
      <c r="L10" s="82"/>
      <c r="M10" s="82"/>
      <c r="N10" s="82"/>
      <c r="O10" s="82"/>
      <c r="P10" s="82"/>
      <c r="Q10" s="82"/>
      <c r="R10" s="82"/>
      <c r="S10" s="82"/>
      <c r="T10" s="82"/>
      <c r="U10" s="82"/>
    </row>
    <row r="11" spans="1:21">
      <c r="A11" s="83" t="s">
        <v>20</v>
      </c>
      <c r="B11" s="83"/>
      <c r="C11" s="83"/>
      <c r="D11" s="83"/>
      <c r="E11" s="83"/>
      <c r="F11" s="83"/>
      <c r="G11" s="83"/>
      <c r="H11" s="83"/>
      <c r="I11" s="83"/>
      <c r="J11" s="83"/>
      <c r="K11" s="84">
        <f>COUNTA(Sales_Entry!A2:A101)</f>
        <v>96</v>
      </c>
      <c r="L11" s="84"/>
      <c r="M11" s="84"/>
      <c r="N11" s="84"/>
      <c r="O11" s="84"/>
      <c r="P11" s="84"/>
      <c r="Q11" s="84"/>
      <c r="R11" s="84"/>
      <c r="S11" s="84"/>
      <c r="T11" s="84"/>
      <c r="U11" s="84"/>
    </row>
  </sheetData>
  <mergeCells count="21">
    <mergeCell ref="A11:J11"/>
    <mergeCell ref="K11:U11"/>
    <mergeCell ref="A7:J7"/>
    <mergeCell ref="K7:U7"/>
    <mergeCell ref="A8:J8"/>
    <mergeCell ref="K8:U8"/>
    <mergeCell ref="A9:J9"/>
    <mergeCell ref="K9:U9"/>
    <mergeCell ref="A5:J5"/>
    <mergeCell ref="K5:U5"/>
    <mergeCell ref="A6:J6"/>
    <mergeCell ref="K6:U6"/>
    <mergeCell ref="A10:J10"/>
    <mergeCell ref="K10:U10"/>
    <mergeCell ref="A1:U1"/>
    <mergeCell ref="A2:J2"/>
    <mergeCell ref="K2:U2"/>
    <mergeCell ref="A3:J3"/>
    <mergeCell ref="K3:U3"/>
    <mergeCell ref="A4:J4"/>
    <mergeCell ref="K4:U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7E502-CBBD-42BC-9D42-6C5A87782A20}">
  <dimension ref="A1:B32"/>
  <sheetViews>
    <sheetView topLeftCell="A21" workbookViewId="0">
      <selection activeCell="J37" sqref="J37"/>
    </sheetView>
  </sheetViews>
  <sheetFormatPr defaultRowHeight="15"/>
  <cols>
    <col min="1" max="1" width="11.42578125" bestFit="1" customWidth="1"/>
    <col min="2" max="2" width="23.5703125" bestFit="1" customWidth="1"/>
    <col min="3" max="3" width="19.7109375" bestFit="1" customWidth="1"/>
  </cols>
  <sheetData>
    <row r="1" spans="1:2">
      <c r="A1" s="76" t="s">
        <v>21</v>
      </c>
      <c r="B1" t="s">
        <v>22</v>
      </c>
    </row>
    <row r="2" spans="1:2">
      <c r="A2" t="s">
        <v>23</v>
      </c>
      <c r="B2" s="77">
        <v>106276</v>
      </c>
    </row>
    <row r="3" spans="1:2">
      <c r="A3" t="s">
        <v>24</v>
      </c>
      <c r="B3" s="77">
        <v>58172</v>
      </c>
    </row>
    <row r="4" spans="1:2">
      <c r="A4" t="s">
        <v>25</v>
      </c>
      <c r="B4" s="77">
        <v>89966</v>
      </c>
    </row>
    <row r="5" spans="1:2">
      <c r="A5" t="s">
        <v>26</v>
      </c>
      <c r="B5" s="77">
        <v>18375</v>
      </c>
    </row>
    <row r="6" spans="1:2">
      <c r="A6" t="s">
        <v>27</v>
      </c>
      <c r="B6" s="77">
        <v>272789</v>
      </c>
    </row>
    <row r="8" spans="1:2">
      <c r="A8" s="76" t="s">
        <v>28</v>
      </c>
      <c r="B8" t="s">
        <v>29</v>
      </c>
    </row>
    <row r="9" spans="1:2">
      <c r="A9" t="s">
        <v>30</v>
      </c>
      <c r="B9" s="107">
        <v>68</v>
      </c>
    </row>
    <row r="10" spans="1:2">
      <c r="A10" t="s">
        <v>31</v>
      </c>
      <c r="B10" s="107">
        <v>70</v>
      </c>
    </row>
    <row r="11" spans="1:2">
      <c r="A11" t="s">
        <v>32</v>
      </c>
      <c r="B11" s="107">
        <v>85</v>
      </c>
    </row>
    <row r="12" spans="1:2">
      <c r="A12" t="s">
        <v>33</v>
      </c>
      <c r="B12" s="107">
        <v>88</v>
      </c>
    </row>
    <row r="13" spans="1:2">
      <c r="A13" t="s">
        <v>34</v>
      </c>
      <c r="B13" s="107">
        <v>93</v>
      </c>
    </row>
    <row r="14" spans="1:2">
      <c r="A14" t="s">
        <v>35</v>
      </c>
      <c r="B14" s="107">
        <v>96</v>
      </c>
    </row>
    <row r="15" spans="1:2">
      <c r="A15" t="s">
        <v>36</v>
      </c>
      <c r="B15" s="107">
        <v>104</v>
      </c>
    </row>
    <row r="16" spans="1:2">
      <c r="A16" t="s">
        <v>37</v>
      </c>
      <c r="B16" s="107">
        <v>110</v>
      </c>
    </row>
    <row r="17" spans="1:2">
      <c r="A17" t="s">
        <v>38</v>
      </c>
      <c r="B17" s="107">
        <v>116</v>
      </c>
    </row>
    <row r="18" spans="1:2">
      <c r="A18" t="s">
        <v>39</v>
      </c>
      <c r="B18" s="107">
        <v>135</v>
      </c>
    </row>
    <row r="19" spans="1:2">
      <c r="A19" t="s">
        <v>27</v>
      </c>
      <c r="B19" s="107">
        <v>965</v>
      </c>
    </row>
    <row r="21" spans="1:2">
      <c r="A21" s="76" t="s">
        <v>40</v>
      </c>
      <c r="B21" t="s">
        <v>22</v>
      </c>
    </row>
    <row r="22" spans="1:2">
      <c r="A22" t="s">
        <v>41</v>
      </c>
      <c r="B22" s="107">
        <v>194186</v>
      </c>
    </row>
    <row r="23" spans="1:2">
      <c r="A23" t="s">
        <v>42</v>
      </c>
      <c r="B23" s="107">
        <v>78603</v>
      </c>
    </row>
    <row r="24" spans="1:2">
      <c r="A24" t="s">
        <v>43</v>
      </c>
      <c r="B24" s="107"/>
    </row>
    <row r="25" spans="1:2">
      <c r="A25" t="s">
        <v>27</v>
      </c>
      <c r="B25" s="107">
        <v>272789</v>
      </c>
    </row>
    <row r="27" spans="1:2">
      <c r="A27" s="76" t="s">
        <v>44</v>
      </c>
      <c r="B27" t="s">
        <v>45</v>
      </c>
    </row>
    <row r="28" spans="1:2">
      <c r="A28" t="s">
        <v>46</v>
      </c>
      <c r="B28" s="107">
        <v>18</v>
      </c>
    </row>
    <row r="29" spans="1:2">
      <c r="A29" t="s">
        <v>47</v>
      </c>
      <c r="B29" s="107">
        <v>1</v>
      </c>
    </row>
    <row r="30" spans="1:2">
      <c r="A30" t="s">
        <v>48</v>
      </c>
      <c r="B30" s="107">
        <v>8</v>
      </c>
    </row>
    <row r="31" spans="1:2">
      <c r="A31" t="s">
        <v>49</v>
      </c>
      <c r="B31" s="107">
        <v>69</v>
      </c>
    </row>
    <row r="32" spans="1:2">
      <c r="A32" t="s">
        <v>27</v>
      </c>
      <c r="B32" s="107">
        <v>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P31"/>
  <sheetViews>
    <sheetView showGridLines="0" zoomScaleNormal="100" workbookViewId="0">
      <selection activeCell="I34" sqref="I34"/>
    </sheetView>
  </sheetViews>
  <sheetFormatPr defaultColWidth="8.7109375" defaultRowHeight="15"/>
  <cols>
    <col min="1" max="1" width="3" style="33" customWidth="1"/>
    <col min="2" max="2" width="14" style="33" customWidth="1"/>
    <col min="3" max="3" width="19" style="33" customWidth="1"/>
    <col min="4" max="4" width="17.7109375" style="33" customWidth="1"/>
    <col min="5" max="5" width="18.85546875" style="33" customWidth="1"/>
    <col min="6" max="6" width="17.7109375" style="33" customWidth="1"/>
    <col min="7" max="7" width="15.85546875" style="33" customWidth="1"/>
    <col min="8" max="8" width="20.140625" style="33" customWidth="1"/>
    <col min="9" max="9" width="19.140625" style="33" customWidth="1"/>
    <col min="10" max="10" width="25.42578125" style="33" customWidth="1"/>
    <col min="11" max="11" width="16.85546875" style="33" customWidth="1"/>
    <col min="12" max="12" width="29.85546875" style="33" customWidth="1"/>
    <col min="13" max="13" width="16.7109375" style="33" customWidth="1"/>
    <col min="14" max="14" width="15.7109375" style="33" bestFit="1" customWidth="1"/>
    <col min="15" max="15" width="20.5703125" style="33" bestFit="1" customWidth="1"/>
    <col min="16" max="16" width="16.7109375" style="33" bestFit="1" customWidth="1"/>
    <col min="17" max="16384" width="8.7109375" style="33"/>
  </cols>
  <sheetData>
    <row r="1" spans="2:16" ht="30" customHeight="1">
      <c r="B1" s="113" t="s">
        <v>50</v>
      </c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5"/>
    </row>
    <row r="2" spans="2:16" ht="30" customHeight="1">
      <c r="B2" s="116"/>
      <c r="C2" s="117"/>
      <c r="D2" s="117"/>
      <c r="E2" s="117"/>
      <c r="F2" s="117"/>
      <c r="G2" s="117"/>
      <c r="H2" s="117"/>
      <c r="I2" s="117"/>
      <c r="J2" s="117"/>
      <c r="K2" s="117"/>
      <c r="L2" s="117"/>
      <c r="M2" s="117"/>
      <c r="N2" s="117"/>
      <c r="O2" s="117"/>
      <c r="P2" s="118"/>
    </row>
    <row r="3" spans="2:16" ht="21.75" customHeight="1">
      <c r="B3" s="40" t="s">
        <v>51</v>
      </c>
      <c r="C3" s="95" t="s">
        <v>52</v>
      </c>
      <c r="D3" s="96"/>
      <c r="P3" s="41"/>
    </row>
    <row r="4" spans="2:16" ht="21.75" customHeight="1">
      <c r="B4" s="97" t="s">
        <v>53</v>
      </c>
      <c r="C4" s="98"/>
      <c r="D4" s="98"/>
      <c r="E4" s="98"/>
      <c r="F4" s="98"/>
      <c r="G4" s="98"/>
      <c r="H4" s="98"/>
      <c r="I4" s="98"/>
      <c r="J4" s="98"/>
      <c r="K4" s="98"/>
      <c r="L4" s="98"/>
      <c r="M4" s="35"/>
      <c r="N4" s="35"/>
      <c r="O4" s="35"/>
      <c r="P4" s="42"/>
    </row>
    <row r="5" spans="2:16" ht="21.75" customHeight="1">
      <c r="B5" s="43"/>
      <c r="P5" s="41"/>
    </row>
    <row r="6" spans="2:16" ht="25.5" customHeight="1">
      <c r="B6" s="99" t="s">
        <v>54</v>
      </c>
      <c r="C6" s="100"/>
      <c r="D6" s="100"/>
      <c r="E6" s="100"/>
      <c r="F6" s="100"/>
      <c r="G6" s="100"/>
      <c r="H6" s="100"/>
      <c r="I6" s="100"/>
      <c r="J6" s="100"/>
      <c r="K6" s="100"/>
      <c r="L6" s="100"/>
      <c r="M6" s="34"/>
      <c r="N6" s="34"/>
      <c r="O6" s="34"/>
      <c r="P6" s="39"/>
    </row>
    <row r="7" spans="2:16">
      <c r="B7" s="44" t="s">
        <v>55</v>
      </c>
      <c r="C7" s="32" t="s">
        <v>28</v>
      </c>
      <c r="D7" s="32" t="s">
        <v>56</v>
      </c>
      <c r="E7" s="32" t="s">
        <v>57</v>
      </c>
      <c r="F7" s="32" t="s">
        <v>58</v>
      </c>
      <c r="G7" s="32" t="s">
        <v>59</v>
      </c>
      <c r="H7" s="32" t="s">
        <v>60</v>
      </c>
      <c r="I7" s="32" t="s">
        <v>61</v>
      </c>
      <c r="J7" s="32" t="s">
        <v>62</v>
      </c>
      <c r="K7" s="32" t="s">
        <v>63</v>
      </c>
      <c r="L7" s="32" t="s">
        <v>64</v>
      </c>
      <c r="M7" s="32" t="s">
        <v>65</v>
      </c>
      <c r="N7" s="34"/>
      <c r="O7" s="34"/>
      <c r="P7" s="39"/>
    </row>
    <row r="8" spans="2:16" ht="27" customHeight="1">
      <c r="B8" s="45" t="str" cm="1">
        <f t="array" ref="B8:M8">_xlfn._xlws.FILTER(Table2[],ISNUMBER(SEARCH(C3,Table2[Med_ID])))</f>
        <v>MED002</v>
      </c>
      <c r="C8" s="33" t="str">
        <v>Augmentin 625mg</v>
      </c>
      <c r="D8" s="33" t="str">
        <v>Antibiotics</v>
      </c>
      <c r="E8" s="54" t="str">
        <v>Tablet</v>
      </c>
      <c r="F8" s="33">
        <v>220</v>
      </c>
      <c r="G8" s="33">
        <v>110</v>
      </c>
      <c r="H8" s="33">
        <v>50</v>
      </c>
      <c r="I8" s="53">
        <v>46386</v>
      </c>
      <c r="J8" s="54" t="str">
        <v>Novartis</v>
      </c>
      <c r="K8" s="33">
        <v>20</v>
      </c>
      <c r="L8" s="54" t="str">
        <v>Tablets/Caps/ml</v>
      </c>
      <c r="M8" s="54" t="str">
        <v>Active</v>
      </c>
      <c r="P8" s="41"/>
    </row>
    <row r="9" spans="2:16" ht="21.75" customHeight="1">
      <c r="B9" s="101" t="s">
        <v>66</v>
      </c>
      <c r="C9" s="102"/>
      <c r="D9" s="102"/>
      <c r="E9" s="102"/>
      <c r="F9" s="102"/>
      <c r="G9" s="102"/>
      <c r="H9" s="102"/>
      <c r="I9" s="102"/>
      <c r="J9" s="102"/>
      <c r="K9" s="102"/>
      <c r="L9" s="102"/>
      <c r="M9" s="36"/>
      <c r="N9" s="36"/>
      <c r="O9" s="36"/>
      <c r="P9" s="46"/>
    </row>
    <row r="10" spans="2:16">
      <c r="B10" s="44" t="s">
        <v>55</v>
      </c>
      <c r="C10" s="32" t="s">
        <v>28</v>
      </c>
      <c r="D10" s="32" t="s">
        <v>56</v>
      </c>
      <c r="E10" s="32" t="s">
        <v>59</v>
      </c>
      <c r="F10" s="32" t="s">
        <v>58</v>
      </c>
      <c r="G10" s="32" t="s">
        <v>67</v>
      </c>
      <c r="H10" s="32" t="s">
        <v>68</v>
      </c>
      <c r="I10" s="32" t="s">
        <v>69</v>
      </c>
      <c r="J10" s="32" t="s">
        <v>60</v>
      </c>
      <c r="K10" s="32" t="s">
        <v>70</v>
      </c>
      <c r="L10" s="32" t="s">
        <v>71</v>
      </c>
      <c r="M10" s="32" t="s">
        <v>72</v>
      </c>
      <c r="N10" s="32" t="s">
        <v>73</v>
      </c>
      <c r="O10" s="32" t="s">
        <v>74</v>
      </c>
      <c r="P10" s="47" t="s">
        <v>75</v>
      </c>
    </row>
    <row r="11" spans="2:16" ht="25.5" customHeight="1">
      <c r="B11" s="43" t="str" cm="1">
        <f t="array" aca="1" ref="B11:P11" ca="1">_xlfn._xlws.FILTER(Table5[],ISNUMBER(SEARCH(C3,Table5[Med_ID])))</f>
        <v>MED002</v>
      </c>
      <c r="C11" s="33" t="str">
        <f ca="1"/>
        <v>Augmentin 625mg</v>
      </c>
      <c r="D11" s="33" t="str">
        <f ca="1"/>
        <v>Antibiotics</v>
      </c>
      <c r="E11" s="33">
        <f ca="1"/>
        <v>110</v>
      </c>
      <c r="F11" s="33">
        <f ca="1"/>
        <v>220</v>
      </c>
      <c r="G11" s="33">
        <f ca="1"/>
        <v>628</v>
      </c>
      <c r="H11" s="33">
        <f ca="1"/>
        <v>135</v>
      </c>
      <c r="I11" s="33">
        <f ca="1"/>
        <v>493</v>
      </c>
      <c r="J11" s="33">
        <f ca="1"/>
        <v>50</v>
      </c>
      <c r="K11" s="33">
        <f ca="1"/>
        <v>54230</v>
      </c>
      <c r="L11" s="33">
        <f ca="1"/>
        <v>299</v>
      </c>
      <c r="M11" s="54" t="str">
        <f ca="1"/>
        <v>OK</v>
      </c>
      <c r="N11" s="54" t="str">
        <f ca="1"/>
        <v>NO</v>
      </c>
      <c r="O11" s="54">
        <f ca="1"/>
        <v>0</v>
      </c>
      <c r="P11" s="55" t="str">
        <f ca="1"/>
        <v>Active</v>
      </c>
    </row>
    <row r="12" spans="2:16" ht="21.75" customHeight="1">
      <c r="B12" s="91" t="s">
        <v>76</v>
      </c>
      <c r="C12" s="92"/>
      <c r="D12" s="92"/>
      <c r="E12" s="92"/>
      <c r="F12" s="92"/>
      <c r="G12" s="92"/>
      <c r="H12" s="92"/>
      <c r="I12" s="92"/>
      <c r="J12" s="92"/>
      <c r="K12" s="92"/>
      <c r="L12" s="92"/>
      <c r="M12" s="37"/>
      <c r="N12" s="37"/>
      <c r="O12" s="37"/>
      <c r="P12" s="48"/>
    </row>
    <row r="13" spans="2:16" ht="20.25" customHeight="1">
      <c r="B13" s="44" t="s">
        <v>55</v>
      </c>
      <c r="C13" s="32" t="s">
        <v>28</v>
      </c>
      <c r="D13" s="32" t="s">
        <v>56</v>
      </c>
      <c r="E13" s="32" t="s">
        <v>69</v>
      </c>
      <c r="F13" s="32" t="s">
        <v>61</v>
      </c>
      <c r="G13" s="32" t="s">
        <v>77</v>
      </c>
      <c r="H13" s="32" t="s">
        <v>72</v>
      </c>
      <c r="I13" s="32" t="s">
        <v>59</v>
      </c>
      <c r="J13" s="32" t="s">
        <v>78</v>
      </c>
      <c r="K13" s="34"/>
      <c r="L13" s="34"/>
      <c r="M13" s="34"/>
      <c r="N13" s="34"/>
      <c r="O13" s="34"/>
      <c r="P13" s="39"/>
    </row>
    <row r="14" spans="2:16" ht="24.75" customHeight="1">
      <c r="B14" s="43" t="str" cm="1">
        <f t="array" aca="1" ref="B14:J14" ca="1">_xlfn._xlws.FILTER(Table7[],ISNUMBER(SEARCH(C3,Table7[Med_ID])))</f>
        <v>MED002</v>
      </c>
      <c r="C14" s="33" t="str">
        <f ca="1"/>
        <v>Augmentin 625mg</v>
      </c>
      <c r="D14" s="33" t="str">
        <f ca="1"/>
        <v>Antibiotics</v>
      </c>
      <c r="E14" s="33">
        <f ca="1"/>
        <v>493</v>
      </c>
      <c r="F14" s="53">
        <f ca="1"/>
        <v>46386</v>
      </c>
      <c r="G14" s="33">
        <f ca="1"/>
        <v>299</v>
      </c>
      <c r="H14" s="33" t="str">
        <f ca="1"/>
        <v>OK</v>
      </c>
      <c r="I14" s="33">
        <f ca="1"/>
        <v>110</v>
      </c>
      <c r="J14" s="33">
        <f ca="1"/>
        <v>54230</v>
      </c>
      <c r="P14" s="41"/>
    </row>
    <row r="15" spans="2:16" ht="21.75" customHeight="1">
      <c r="B15" s="93" t="s">
        <v>79</v>
      </c>
      <c r="C15" s="94"/>
      <c r="D15" s="94"/>
      <c r="E15" s="94"/>
      <c r="F15" s="94"/>
      <c r="G15" s="94"/>
      <c r="H15" s="94"/>
      <c r="I15" s="94"/>
      <c r="J15" s="94"/>
      <c r="K15" s="94"/>
      <c r="L15" s="94"/>
      <c r="M15" s="38"/>
      <c r="N15" s="38"/>
      <c r="O15" s="38"/>
      <c r="P15" s="49"/>
    </row>
    <row r="16" spans="2:16" ht="21.75" customHeight="1">
      <c r="B16" s="44" t="s">
        <v>80</v>
      </c>
      <c r="C16" s="32" t="s">
        <v>81</v>
      </c>
      <c r="D16" s="32" t="s">
        <v>55</v>
      </c>
      <c r="E16" s="32" t="s">
        <v>28</v>
      </c>
      <c r="F16" s="32" t="s">
        <v>82</v>
      </c>
      <c r="G16" s="32" t="s">
        <v>83</v>
      </c>
      <c r="H16" s="32" t="s">
        <v>59</v>
      </c>
      <c r="I16" s="32" t="s">
        <v>84</v>
      </c>
      <c r="J16" s="32" t="s">
        <v>85</v>
      </c>
      <c r="K16" s="32" t="s">
        <v>86</v>
      </c>
      <c r="L16" s="32" t="s">
        <v>61</v>
      </c>
      <c r="M16" s="32" t="s">
        <v>87</v>
      </c>
      <c r="N16" s="34"/>
      <c r="O16" s="34"/>
      <c r="P16" s="39"/>
    </row>
    <row r="17" spans="2:16" ht="21.75" customHeight="1">
      <c r="B17" s="43" t="str" cm="1">
        <f t="array" ref="B17:M18">_xlfn._xlws.FILTER(Table3[],ISNUMBER(SEARCH(C3,Table3[Med_ID])))</f>
        <v>PUR0052</v>
      </c>
      <c r="C17" s="53">
        <v>45926</v>
      </c>
      <c r="D17" s="54" t="str">
        <v>MED002</v>
      </c>
      <c r="E17" s="33" t="str">
        <v>Augmentin 625mg</v>
      </c>
      <c r="F17" s="33" t="str">
        <v>City Medical</v>
      </c>
      <c r="G17" s="33">
        <v>284</v>
      </c>
      <c r="H17" s="33">
        <v>110</v>
      </c>
      <c r="I17" s="33">
        <v>31240</v>
      </c>
      <c r="J17" s="54" t="str">
        <v>INV23104</v>
      </c>
      <c r="K17" s="33" t="str">
        <v>B175</v>
      </c>
      <c r="L17" s="66">
        <v>46386</v>
      </c>
      <c r="M17" s="54" t="str">
        <v>Paid</v>
      </c>
      <c r="P17" s="41"/>
    </row>
    <row r="18" spans="2:16" ht="21.75" customHeight="1">
      <c r="B18" s="43" t="str">
        <v>PUR0096</v>
      </c>
      <c r="C18" s="53">
        <v>45988</v>
      </c>
      <c r="D18" s="54" t="str">
        <v>MED002</v>
      </c>
      <c r="E18" s="33" t="str">
        <v>Augmentin 625mg</v>
      </c>
      <c r="F18" s="33" t="str">
        <v>Dawa Center</v>
      </c>
      <c r="G18" s="33">
        <v>344</v>
      </c>
      <c r="H18" s="33">
        <v>110</v>
      </c>
      <c r="I18" s="33">
        <v>37840</v>
      </c>
      <c r="J18" s="54" t="str">
        <v>INV10772</v>
      </c>
      <c r="K18" s="33" t="str">
        <v>B460</v>
      </c>
      <c r="L18" s="66">
        <v>46386</v>
      </c>
      <c r="M18" s="54" t="str">
        <v>Paid</v>
      </c>
      <c r="P18" s="41"/>
    </row>
    <row r="19" spans="2:16" ht="21.75" customHeight="1">
      <c r="B19" s="43"/>
      <c r="P19" s="41"/>
    </row>
    <row r="20" spans="2:16" ht="21.75" customHeight="1">
      <c r="B20" s="93" t="s">
        <v>88</v>
      </c>
      <c r="C20" s="94"/>
      <c r="D20" s="94"/>
      <c r="E20" s="94"/>
      <c r="F20" s="94"/>
      <c r="G20" s="94"/>
      <c r="H20" s="94"/>
      <c r="I20" s="94"/>
      <c r="J20" s="94"/>
      <c r="K20" s="94"/>
      <c r="L20" s="94"/>
      <c r="M20" s="38"/>
      <c r="N20" s="38"/>
      <c r="O20" s="38"/>
      <c r="P20" s="49"/>
    </row>
    <row r="21" spans="2:16" ht="23.25" customHeight="1">
      <c r="B21" s="78" t="s">
        <v>89</v>
      </c>
      <c r="C21" s="79" t="s">
        <v>21</v>
      </c>
      <c r="D21" s="80" t="s">
        <v>81</v>
      </c>
      <c r="E21" s="78" t="s">
        <v>55</v>
      </c>
      <c r="F21" s="78" t="s">
        <v>28</v>
      </c>
      <c r="G21" s="78" t="s">
        <v>90</v>
      </c>
      <c r="H21" s="78" t="s">
        <v>83</v>
      </c>
      <c r="I21" s="78" t="s">
        <v>58</v>
      </c>
      <c r="J21" s="78" t="s">
        <v>91</v>
      </c>
      <c r="K21" s="78" t="s">
        <v>59</v>
      </c>
      <c r="L21" s="78" t="s">
        <v>84</v>
      </c>
      <c r="M21" s="78" t="s">
        <v>92</v>
      </c>
      <c r="N21" s="78" t="s">
        <v>40</v>
      </c>
      <c r="O21" s="78" t="s">
        <v>93</v>
      </c>
      <c r="P21" s="78" t="s">
        <v>94</v>
      </c>
    </row>
    <row r="22" spans="2:16">
      <c r="B22" s="43" t="str" cm="1">
        <f t="array" ref="B22:P26">_xlfn._xlws.FILTER(Table4[],ISNUMBER(SEARCH(C3,Table4[Med_ID])))</f>
        <v>SAL0017</v>
      </c>
      <c r="C22" s="53" t="str">
        <v>Jan 2026</v>
      </c>
      <c r="D22" s="54">
        <v>46045</v>
      </c>
      <c r="E22" s="33" t="str">
        <v>MED002</v>
      </c>
      <c r="F22" s="33" t="str">
        <v>Augmentin 625mg</v>
      </c>
      <c r="G22" s="33" t="str">
        <v>Kamran Iqbal</v>
      </c>
      <c r="H22" s="33">
        <v>36</v>
      </c>
      <c r="I22" s="33">
        <v>220</v>
      </c>
      <c r="J22" s="33">
        <v>7920</v>
      </c>
      <c r="K22" s="33">
        <v>110</v>
      </c>
      <c r="L22" s="33">
        <v>3960</v>
      </c>
      <c r="M22" s="54">
        <v>3960</v>
      </c>
      <c r="N22" s="33" t="str">
        <v>Cash</v>
      </c>
      <c r="O22" s="33">
        <v>7920</v>
      </c>
      <c r="P22" s="41">
        <v>0</v>
      </c>
    </row>
    <row r="23" spans="2:16">
      <c r="B23" s="43" t="str">
        <v>SAL0043</v>
      </c>
      <c r="C23" s="53" t="str">
        <v>Dec 2025</v>
      </c>
      <c r="D23" s="54">
        <v>46003</v>
      </c>
      <c r="E23" s="33" t="str">
        <v>MED002</v>
      </c>
      <c r="F23" s="33" t="str">
        <v>Augmentin 625mg</v>
      </c>
      <c r="G23" s="33" t="str">
        <v>Usman Ali</v>
      </c>
      <c r="H23" s="33">
        <v>34</v>
      </c>
      <c r="I23" s="33">
        <v>220</v>
      </c>
      <c r="J23" s="33">
        <v>7480</v>
      </c>
      <c r="K23" s="33">
        <v>110</v>
      </c>
      <c r="L23" s="33">
        <v>3740</v>
      </c>
      <c r="M23" s="54">
        <v>3740</v>
      </c>
      <c r="N23" s="33" t="str">
        <v>Cash</v>
      </c>
      <c r="O23" s="33">
        <v>7480</v>
      </c>
      <c r="P23" s="41">
        <v>0</v>
      </c>
    </row>
    <row r="24" spans="2:16">
      <c r="B24" s="43" t="str">
        <v>SAL0062</v>
      </c>
      <c r="C24" s="53" t="str">
        <v>Dec 2025</v>
      </c>
      <c r="D24" s="54">
        <v>46016</v>
      </c>
      <c r="E24" s="33" t="str">
        <v>MED002</v>
      </c>
      <c r="F24" s="33" t="str">
        <v>Augmentin 625mg</v>
      </c>
      <c r="G24" s="33" t="str">
        <v>Rabia Nawaz</v>
      </c>
      <c r="H24" s="33">
        <v>38</v>
      </c>
      <c r="I24" s="33">
        <v>220</v>
      </c>
      <c r="J24" s="33">
        <v>8360</v>
      </c>
      <c r="K24" s="33">
        <v>110</v>
      </c>
      <c r="L24" s="33">
        <v>4180</v>
      </c>
      <c r="M24" s="54">
        <v>4180</v>
      </c>
      <c r="N24" s="33" t="str">
        <v>Cash</v>
      </c>
      <c r="O24" s="33">
        <v>8360</v>
      </c>
      <c r="P24" s="41">
        <v>0</v>
      </c>
    </row>
    <row r="25" spans="2:16">
      <c r="B25" s="43" t="str">
        <v>SAL0071</v>
      </c>
      <c r="C25" s="53" t="str">
        <v>Dec 2025</v>
      </c>
      <c r="D25" s="54">
        <v>46007</v>
      </c>
      <c r="E25" s="33" t="str">
        <v>MED002</v>
      </c>
      <c r="F25" s="33" t="str">
        <v>Augmentin 625mg</v>
      </c>
      <c r="G25" s="33" t="str">
        <v>Tariq Mahmood</v>
      </c>
      <c r="H25" s="33">
        <v>5</v>
      </c>
      <c r="I25" s="33">
        <v>220</v>
      </c>
      <c r="J25" s="33">
        <v>1100</v>
      </c>
      <c r="K25" s="33">
        <v>110</v>
      </c>
      <c r="L25" s="33">
        <v>550</v>
      </c>
      <c r="M25" s="54">
        <v>550</v>
      </c>
      <c r="N25" s="33" t="str">
        <v>Cash</v>
      </c>
      <c r="O25" s="33">
        <v>1100</v>
      </c>
      <c r="P25" s="41">
        <v>0</v>
      </c>
    </row>
    <row r="26" spans="2:16">
      <c r="B26" s="43" t="str">
        <v>SAL0092</v>
      </c>
      <c r="C26" s="53" t="str">
        <v>Jan 2026</v>
      </c>
      <c r="D26" s="54">
        <v>46032</v>
      </c>
      <c r="E26" s="33" t="str">
        <v>MED002</v>
      </c>
      <c r="F26" s="33" t="str">
        <v>Augmentin 625mg</v>
      </c>
      <c r="G26" s="33" t="str">
        <v>Lubna Farooq</v>
      </c>
      <c r="H26" s="33">
        <v>22</v>
      </c>
      <c r="I26" s="33">
        <v>220</v>
      </c>
      <c r="J26" s="33">
        <v>4840</v>
      </c>
      <c r="K26" s="33">
        <v>110</v>
      </c>
      <c r="L26" s="33">
        <v>2420</v>
      </c>
      <c r="M26" s="54">
        <v>2420</v>
      </c>
      <c r="N26" s="33" t="str">
        <v>Credit</v>
      </c>
      <c r="O26" s="33">
        <v>2420</v>
      </c>
      <c r="P26" s="41">
        <v>2420</v>
      </c>
    </row>
    <row r="27" spans="2:16">
      <c r="B27" s="43"/>
      <c r="P27" s="41"/>
    </row>
    <row r="28" spans="2:16">
      <c r="B28" s="43"/>
      <c r="P28" s="41"/>
    </row>
    <row r="29" spans="2:16">
      <c r="B29" s="43"/>
      <c r="P29" s="41"/>
    </row>
    <row r="30" spans="2:16">
      <c r="B30" s="43"/>
      <c r="P30" s="41"/>
    </row>
    <row r="31" spans="2:16">
      <c r="B31" s="50"/>
      <c r="C31" s="51"/>
      <c r="D31" s="51"/>
      <c r="E31" s="51"/>
      <c r="F31" s="51"/>
      <c r="G31" s="51"/>
      <c r="H31" s="51"/>
      <c r="I31" s="51"/>
      <c r="J31" s="51"/>
      <c r="K31" s="51"/>
      <c r="L31" s="51"/>
      <c r="M31" s="51"/>
      <c r="N31" s="51"/>
      <c r="O31" s="51"/>
      <c r="P31" s="52"/>
    </row>
  </sheetData>
  <mergeCells count="8">
    <mergeCell ref="B12:L12"/>
    <mergeCell ref="B15:L15"/>
    <mergeCell ref="B20:L20"/>
    <mergeCell ref="C3:D3"/>
    <mergeCell ref="B4:L4"/>
    <mergeCell ref="B6:L6"/>
    <mergeCell ref="B9:L9"/>
    <mergeCell ref="B1:P2"/>
  </mergeCells>
  <conditionalFormatting sqref="M8">
    <cfRule type="cellIs" dxfId="136" priority="4" operator="equal">
      <formula>"Active"</formula>
    </cfRule>
  </conditionalFormatting>
  <conditionalFormatting sqref="M8">
    <cfRule type="cellIs" dxfId="135" priority="3" operator="notEqual">
      <formula>"Active"</formula>
    </cfRule>
  </conditionalFormatting>
  <conditionalFormatting sqref="N21">
    <cfRule type="cellIs" dxfId="134" priority="2" operator="equal">
      <formula>"cash"</formula>
    </cfRule>
  </conditionalFormatting>
  <conditionalFormatting sqref="N21">
    <cfRule type="cellIs" dxfId="133" priority="1" operator="equal">
      <formula>"credit"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97"/>
  <sheetViews>
    <sheetView showGridLines="0" tabSelected="1" zoomScaleNormal="100" workbookViewId="0">
      <pane ySplit="1" topLeftCell="B7" activePane="bottomLeft" state="frozen"/>
      <selection pane="bottomLeft" activeCell="B8" sqref="B8"/>
    </sheetView>
  </sheetViews>
  <sheetFormatPr defaultColWidth="8.7109375" defaultRowHeight="15"/>
  <cols>
    <col min="1" max="1" width="13.85546875" style="1" customWidth="1"/>
    <col min="2" max="2" width="28" style="1" customWidth="1"/>
    <col min="3" max="3" width="18" style="1" customWidth="1"/>
    <col min="4" max="4" width="13.5703125" style="1" customWidth="1"/>
    <col min="5" max="5" width="21.28515625" style="1" customWidth="1"/>
    <col min="6" max="6" width="20.85546875" style="1" customWidth="1"/>
    <col min="7" max="7" width="19" style="1" customWidth="1"/>
    <col min="8" max="8" width="26.85546875" style="60" customWidth="1"/>
    <col min="9" max="9" width="18" style="1" customWidth="1"/>
    <col min="10" max="10" width="18.42578125" style="1" customWidth="1"/>
    <col min="11" max="11" width="14" style="1" customWidth="1"/>
    <col min="12" max="12" width="12.5703125" style="1" customWidth="1"/>
  </cols>
  <sheetData>
    <row r="1" spans="1:12" ht="34.5" customHeight="1">
      <c r="A1" s="19" t="s">
        <v>55</v>
      </c>
      <c r="B1" s="20" t="s">
        <v>28</v>
      </c>
      <c r="C1" s="20" t="s">
        <v>56</v>
      </c>
      <c r="D1" s="20" t="s">
        <v>57</v>
      </c>
      <c r="E1" s="20" t="s">
        <v>58</v>
      </c>
      <c r="F1" s="20" t="s">
        <v>59</v>
      </c>
      <c r="G1" s="20" t="s">
        <v>60</v>
      </c>
      <c r="H1" s="56" t="s">
        <v>61</v>
      </c>
      <c r="I1" s="20" t="s">
        <v>62</v>
      </c>
      <c r="J1" s="20" t="s">
        <v>63</v>
      </c>
      <c r="K1" s="20" t="s">
        <v>64</v>
      </c>
      <c r="L1" s="21" t="s">
        <v>65</v>
      </c>
    </row>
    <row r="2" spans="1:12" ht="19.5" customHeight="1">
      <c r="A2" s="15" t="s">
        <v>95</v>
      </c>
      <c r="B2" s="8" t="s">
        <v>96</v>
      </c>
      <c r="C2" s="8" t="s">
        <v>97</v>
      </c>
      <c r="D2" s="5" t="s">
        <v>98</v>
      </c>
      <c r="E2" s="5">
        <v>45</v>
      </c>
      <c r="F2" s="5">
        <v>22</v>
      </c>
      <c r="G2" s="5">
        <v>100</v>
      </c>
      <c r="H2" s="57">
        <v>46090</v>
      </c>
      <c r="I2" s="8" t="s">
        <v>99</v>
      </c>
      <c r="J2" s="5">
        <v>20</v>
      </c>
      <c r="K2" s="5" t="s">
        <v>100</v>
      </c>
      <c r="L2" s="17" t="s">
        <v>101</v>
      </c>
    </row>
    <row r="3" spans="1:12" ht="19.5" customHeight="1">
      <c r="A3" s="16" t="s">
        <v>52</v>
      </c>
      <c r="B3" s="9" t="s">
        <v>39</v>
      </c>
      <c r="C3" s="9" t="s">
        <v>97</v>
      </c>
      <c r="D3" s="2" t="s">
        <v>102</v>
      </c>
      <c r="E3" s="2">
        <v>220</v>
      </c>
      <c r="F3" s="2">
        <v>110</v>
      </c>
      <c r="G3" s="2">
        <v>50</v>
      </c>
      <c r="H3" s="58">
        <v>46386</v>
      </c>
      <c r="I3" s="9" t="s">
        <v>103</v>
      </c>
      <c r="J3" s="2">
        <v>20</v>
      </c>
      <c r="K3" s="2" t="s">
        <v>100</v>
      </c>
      <c r="L3" s="18" t="s">
        <v>101</v>
      </c>
    </row>
    <row r="4" spans="1:12" ht="19.5" customHeight="1">
      <c r="A4" s="15" t="s">
        <v>104</v>
      </c>
      <c r="B4" s="8" t="s">
        <v>34</v>
      </c>
      <c r="C4" s="8" t="s">
        <v>97</v>
      </c>
      <c r="D4" s="5" t="s">
        <v>102</v>
      </c>
      <c r="E4" s="5">
        <v>180</v>
      </c>
      <c r="F4" s="5">
        <v>88</v>
      </c>
      <c r="G4" s="5">
        <v>60</v>
      </c>
      <c r="H4" s="57">
        <v>46726</v>
      </c>
      <c r="I4" s="8" t="s">
        <v>105</v>
      </c>
      <c r="J4" s="5">
        <v>10</v>
      </c>
      <c r="K4" s="5" t="s">
        <v>100</v>
      </c>
      <c r="L4" s="17" t="s">
        <v>101</v>
      </c>
    </row>
    <row r="5" spans="1:12" ht="19.5" customHeight="1">
      <c r="A5" s="16" t="s">
        <v>106</v>
      </c>
      <c r="B5" s="9" t="s">
        <v>33</v>
      </c>
      <c r="C5" s="9" t="s">
        <v>97</v>
      </c>
      <c r="D5" s="2" t="s">
        <v>102</v>
      </c>
      <c r="E5" s="2">
        <v>95</v>
      </c>
      <c r="F5" s="2">
        <v>46</v>
      </c>
      <c r="G5" s="2">
        <v>80</v>
      </c>
      <c r="H5" s="58">
        <v>46478</v>
      </c>
      <c r="I5" s="9" t="s">
        <v>103</v>
      </c>
      <c r="J5" s="2">
        <v>14</v>
      </c>
      <c r="K5" s="2" t="s">
        <v>100</v>
      </c>
      <c r="L5" s="18" t="s">
        <v>101</v>
      </c>
    </row>
    <row r="6" spans="1:12" ht="19.5" customHeight="1">
      <c r="A6" s="15" t="s">
        <v>107</v>
      </c>
      <c r="B6" s="8" t="s">
        <v>108</v>
      </c>
      <c r="C6" s="8" t="s">
        <v>97</v>
      </c>
      <c r="D6" s="5" t="s">
        <v>102</v>
      </c>
      <c r="E6" s="5">
        <v>35</v>
      </c>
      <c r="F6" s="5">
        <v>17</v>
      </c>
      <c r="G6" s="5">
        <v>100</v>
      </c>
      <c r="H6" s="57">
        <v>46278</v>
      </c>
      <c r="I6" s="8" t="s">
        <v>99</v>
      </c>
      <c r="J6" s="5">
        <v>20</v>
      </c>
      <c r="K6" s="5" t="s">
        <v>100</v>
      </c>
      <c r="L6" s="17" t="s">
        <v>101</v>
      </c>
    </row>
    <row r="7" spans="1:12" ht="19.5" customHeight="1">
      <c r="A7" s="16" t="s">
        <v>109</v>
      </c>
      <c r="B7" s="9" t="s">
        <v>110</v>
      </c>
      <c r="C7" s="9" t="s">
        <v>97</v>
      </c>
      <c r="D7" s="2" t="s">
        <v>98</v>
      </c>
      <c r="E7" s="2">
        <v>120</v>
      </c>
      <c r="F7" s="2">
        <v>58</v>
      </c>
      <c r="G7" s="2">
        <v>60</v>
      </c>
      <c r="H7" s="58">
        <v>46117</v>
      </c>
      <c r="I7" s="9" t="s">
        <v>111</v>
      </c>
      <c r="J7" s="2">
        <v>10</v>
      </c>
      <c r="K7" s="2" t="s">
        <v>100</v>
      </c>
      <c r="L7" s="18" t="s">
        <v>101</v>
      </c>
    </row>
    <row r="8" spans="1:12" ht="19.5" customHeight="1">
      <c r="A8" s="15" t="s">
        <v>112</v>
      </c>
      <c r="B8" s="9" t="s">
        <v>110</v>
      </c>
      <c r="C8" s="8" t="s">
        <v>97</v>
      </c>
      <c r="D8" s="5" t="s">
        <v>98</v>
      </c>
      <c r="E8" s="5">
        <v>85</v>
      </c>
      <c r="F8" s="5">
        <v>41</v>
      </c>
      <c r="G8" s="5">
        <v>80</v>
      </c>
      <c r="H8" s="57">
        <v>46713</v>
      </c>
      <c r="I8" s="8" t="s">
        <v>103</v>
      </c>
      <c r="J8" s="5">
        <v>20</v>
      </c>
      <c r="K8" s="5" t="s">
        <v>100</v>
      </c>
      <c r="L8" s="17" t="s">
        <v>101</v>
      </c>
    </row>
    <row r="9" spans="1:12" ht="19.5" customHeight="1">
      <c r="A9" s="16" t="s">
        <v>113</v>
      </c>
      <c r="B9" s="9" t="s">
        <v>114</v>
      </c>
      <c r="C9" s="9" t="s">
        <v>115</v>
      </c>
      <c r="D9" s="2" t="s">
        <v>102</v>
      </c>
      <c r="E9" s="2">
        <v>12</v>
      </c>
      <c r="F9" s="2">
        <v>5</v>
      </c>
      <c r="G9" s="2">
        <v>200</v>
      </c>
      <c r="H9" s="58">
        <v>46130</v>
      </c>
      <c r="I9" s="9" t="s">
        <v>116</v>
      </c>
      <c r="J9" s="2">
        <v>20</v>
      </c>
      <c r="K9" s="2" t="s">
        <v>100</v>
      </c>
      <c r="L9" s="18" t="s">
        <v>101</v>
      </c>
    </row>
    <row r="10" spans="1:12" ht="19.5" customHeight="1">
      <c r="A10" s="15" t="s">
        <v>117</v>
      </c>
      <c r="B10" s="8" t="s">
        <v>118</v>
      </c>
      <c r="C10" s="8" t="s">
        <v>115</v>
      </c>
      <c r="D10" s="5" t="s">
        <v>102</v>
      </c>
      <c r="E10" s="5">
        <v>28</v>
      </c>
      <c r="F10" s="5">
        <v>13</v>
      </c>
      <c r="G10" s="5">
        <v>150</v>
      </c>
      <c r="H10" s="57">
        <v>46063</v>
      </c>
      <c r="I10" s="8" t="s">
        <v>119</v>
      </c>
      <c r="J10" s="5">
        <v>14</v>
      </c>
      <c r="K10" s="5" t="s">
        <v>100</v>
      </c>
      <c r="L10" s="17" t="s">
        <v>101</v>
      </c>
    </row>
    <row r="11" spans="1:12" ht="19.5" customHeight="1">
      <c r="A11" s="16" t="s">
        <v>120</v>
      </c>
      <c r="B11" s="9" t="s">
        <v>121</v>
      </c>
      <c r="C11" s="9" t="s">
        <v>115</v>
      </c>
      <c r="D11" s="2" t="s">
        <v>102</v>
      </c>
      <c r="E11" s="2">
        <v>42</v>
      </c>
      <c r="F11" s="2">
        <v>20</v>
      </c>
      <c r="G11" s="2">
        <v>120</v>
      </c>
      <c r="H11" s="58">
        <v>46138</v>
      </c>
      <c r="I11" s="9" t="s">
        <v>122</v>
      </c>
      <c r="J11" s="2">
        <v>14</v>
      </c>
      <c r="K11" s="2" t="s">
        <v>100</v>
      </c>
      <c r="L11" s="18" t="s">
        <v>101</v>
      </c>
    </row>
    <row r="12" spans="1:12" ht="19.5" customHeight="1">
      <c r="A12" s="15" t="s">
        <v>123</v>
      </c>
      <c r="B12" s="8" t="s">
        <v>124</v>
      </c>
      <c r="C12" s="8" t="s">
        <v>115</v>
      </c>
      <c r="D12" s="5" t="s">
        <v>102</v>
      </c>
      <c r="E12" s="5">
        <v>18</v>
      </c>
      <c r="F12" s="5">
        <v>8</v>
      </c>
      <c r="G12" s="5">
        <v>150</v>
      </c>
      <c r="H12" s="57">
        <v>46254</v>
      </c>
      <c r="I12" s="8" t="s">
        <v>125</v>
      </c>
      <c r="J12" s="5">
        <v>30</v>
      </c>
      <c r="K12" s="5" t="s">
        <v>100</v>
      </c>
      <c r="L12" s="17" t="s">
        <v>101</v>
      </c>
    </row>
    <row r="13" spans="1:12" ht="19.5" customHeight="1">
      <c r="A13" s="16" t="s">
        <v>126</v>
      </c>
      <c r="B13" s="9" t="s">
        <v>127</v>
      </c>
      <c r="C13" s="9" t="s">
        <v>115</v>
      </c>
      <c r="D13" s="2" t="s">
        <v>98</v>
      </c>
      <c r="E13" s="2">
        <v>95</v>
      </c>
      <c r="F13" s="2">
        <v>46</v>
      </c>
      <c r="G13" s="2">
        <v>70</v>
      </c>
      <c r="H13" s="58">
        <v>46776</v>
      </c>
      <c r="I13" s="9" t="s">
        <v>128</v>
      </c>
      <c r="J13" s="2">
        <v>20</v>
      </c>
      <c r="K13" s="2" t="s">
        <v>100</v>
      </c>
      <c r="L13" s="18" t="s">
        <v>101</v>
      </c>
    </row>
    <row r="14" spans="1:12" ht="19.5" customHeight="1">
      <c r="A14" s="15" t="s">
        <v>129</v>
      </c>
      <c r="B14" s="8" t="s">
        <v>130</v>
      </c>
      <c r="C14" s="8" t="s">
        <v>115</v>
      </c>
      <c r="D14" s="5" t="s">
        <v>98</v>
      </c>
      <c r="E14" s="5">
        <v>55</v>
      </c>
      <c r="F14" s="5">
        <v>26</v>
      </c>
      <c r="G14" s="5">
        <v>100</v>
      </c>
      <c r="H14" s="57">
        <v>46304</v>
      </c>
      <c r="I14" s="8" t="s">
        <v>105</v>
      </c>
      <c r="J14" s="5">
        <v>30</v>
      </c>
      <c r="K14" s="5" t="s">
        <v>100</v>
      </c>
      <c r="L14" s="17" t="s">
        <v>101</v>
      </c>
    </row>
    <row r="15" spans="1:12" ht="19.5" customHeight="1">
      <c r="A15" s="16" t="s">
        <v>131</v>
      </c>
      <c r="B15" s="9" t="s">
        <v>132</v>
      </c>
      <c r="C15" s="9" t="s">
        <v>133</v>
      </c>
      <c r="D15" s="2" t="s">
        <v>98</v>
      </c>
      <c r="E15" s="2">
        <v>65</v>
      </c>
      <c r="F15" s="2">
        <v>31</v>
      </c>
      <c r="G15" s="2">
        <v>120</v>
      </c>
      <c r="H15" s="58">
        <v>46196</v>
      </c>
      <c r="I15" s="9" t="s">
        <v>128</v>
      </c>
      <c r="J15" s="2">
        <v>30</v>
      </c>
      <c r="K15" s="2" t="s">
        <v>100</v>
      </c>
      <c r="L15" s="18" t="s">
        <v>101</v>
      </c>
    </row>
    <row r="16" spans="1:12" ht="19.5" customHeight="1">
      <c r="A16" s="15" t="s">
        <v>134</v>
      </c>
      <c r="B16" s="8" t="s">
        <v>135</v>
      </c>
      <c r="C16" s="8" t="s">
        <v>133</v>
      </c>
      <c r="D16" s="5" t="s">
        <v>102</v>
      </c>
      <c r="E16" s="5">
        <v>85</v>
      </c>
      <c r="F16" s="5">
        <v>41</v>
      </c>
      <c r="G16" s="5">
        <v>100</v>
      </c>
      <c r="H16" s="57">
        <v>46468</v>
      </c>
      <c r="I16" s="8" t="s">
        <v>105</v>
      </c>
      <c r="J16" s="5">
        <v>20</v>
      </c>
      <c r="K16" s="5" t="s">
        <v>100</v>
      </c>
      <c r="L16" s="17" t="s">
        <v>101</v>
      </c>
    </row>
    <row r="17" spans="1:12" ht="19.5" customHeight="1">
      <c r="A17" s="16" t="s">
        <v>136</v>
      </c>
      <c r="B17" s="9" t="s">
        <v>37</v>
      </c>
      <c r="C17" s="9" t="s">
        <v>133</v>
      </c>
      <c r="D17" s="2" t="s">
        <v>102</v>
      </c>
      <c r="E17" s="2">
        <v>38</v>
      </c>
      <c r="F17" s="2">
        <v>18</v>
      </c>
      <c r="G17" s="2">
        <v>130</v>
      </c>
      <c r="H17" s="58">
        <v>46117</v>
      </c>
      <c r="I17" s="9" t="s">
        <v>111</v>
      </c>
      <c r="J17" s="2">
        <v>14</v>
      </c>
      <c r="K17" s="2" t="s">
        <v>100</v>
      </c>
      <c r="L17" s="18" t="s">
        <v>101</v>
      </c>
    </row>
    <row r="18" spans="1:12" ht="19.5" customHeight="1">
      <c r="A18" s="15" t="s">
        <v>137</v>
      </c>
      <c r="B18" s="8" t="s">
        <v>138</v>
      </c>
      <c r="C18" s="8" t="s">
        <v>133</v>
      </c>
      <c r="D18" s="5" t="s">
        <v>102</v>
      </c>
      <c r="E18" s="5">
        <v>45</v>
      </c>
      <c r="F18" s="5">
        <v>21</v>
      </c>
      <c r="G18" s="5">
        <v>120</v>
      </c>
      <c r="H18" s="57">
        <v>46542</v>
      </c>
      <c r="I18" s="8" t="s">
        <v>116</v>
      </c>
      <c r="J18" s="5">
        <v>20</v>
      </c>
      <c r="K18" s="5" t="s">
        <v>100</v>
      </c>
      <c r="L18" s="17" t="s">
        <v>101</v>
      </c>
    </row>
    <row r="19" spans="1:12" ht="19.5" customHeight="1">
      <c r="A19" s="16" t="s">
        <v>139</v>
      </c>
      <c r="B19" s="9" t="s">
        <v>140</v>
      </c>
      <c r="C19" s="9" t="s">
        <v>133</v>
      </c>
      <c r="D19" s="2" t="s">
        <v>98</v>
      </c>
      <c r="E19" s="2">
        <v>95</v>
      </c>
      <c r="F19" s="2">
        <v>46</v>
      </c>
      <c r="G19" s="2">
        <v>80</v>
      </c>
      <c r="H19" s="58">
        <v>46076</v>
      </c>
      <c r="I19" s="9" t="s">
        <v>141</v>
      </c>
      <c r="J19" s="2">
        <v>14</v>
      </c>
      <c r="K19" s="2" t="s">
        <v>100</v>
      </c>
      <c r="L19" s="18" t="s">
        <v>101</v>
      </c>
    </row>
    <row r="20" spans="1:12" ht="19.5" customHeight="1">
      <c r="A20" s="15" t="s">
        <v>142</v>
      </c>
      <c r="B20" s="8" t="s">
        <v>143</v>
      </c>
      <c r="C20" s="8" t="s">
        <v>133</v>
      </c>
      <c r="D20" s="5" t="s">
        <v>98</v>
      </c>
      <c r="E20" s="5">
        <v>120</v>
      </c>
      <c r="F20" s="5">
        <v>58</v>
      </c>
      <c r="G20" s="5">
        <v>70</v>
      </c>
      <c r="H20" s="57">
        <v>46582</v>
      </c>
      <c r="I20" s="8" t="s">
        <v>111</v>
      </c>
      <c r="J20" s="5">
        <v>30</v>
      </c>
      <c r="K20" s="5" t="s">
        <v>100</v>
      </c>
      <c r="L20" s="17" t="s">
        <v>101</v>
      </c>
    </row>
    <row r="21" spans="1:12" ht="19.5" customHeight="1">
      <c r="A21" s="16" t="s">
        <v>144</v>
      </c>
      <c r="B21" s="9" t="s">
        <v>38</v>
      </c>
      <c r="C21" s="9" t="s">
        <v>145</v>
      </c>
      <c r="D21" s="2" t="s">
        <v>102</v>
      </c>
      <c r="E21" s="2">
        <v>35</v>
      </c>
      <c r="F21" s="2">
        <v>16</v>
      </c>
      <c r="G21" s="2">
        <v>150</v>
      </c>
      <c r="H21" s="58">
        <v>46060</v>
      </c>
      <c r="I21" s="9" t="s">
        <v>105</v>
      </c>
      <c r="J21" s="2">
        <v>20</v>
      </c>
      <c r="K21" s="2" t="s">
        <v>100</v>
      </c>
      <c r="L21" s="18" t="s">
        <v>101</v>
      </c>
    </row>
    <row r="22" spans="1:12" ht="19.5" customHeight="1">
      <c r="A22" s="15" t="s">
        <v>146</v>
      </c>
      <c r="B22" s="8" t="s">
        <v>147</v>
      </c>
      <c r="C22" s="8" t="s">
        <v>145</v>
      </c>
      <c r="D22" s="5" t="s">
        <v>98</v>
      </c>
      <c r="E22" s="5">
        <v>65</v>
      </c>
      <c r="F22" s="5">
        <v>31</v>
      </c>
      <c r="G22" s="5">
        <v>100</v>
      </c>
      <c r="H22" s="57">
        <v>46691</v>
      </c>
      <c r="I22" s="8" t="s">
        <v>111</v>
      </c>
      <c r="J22" s="5">
        <v>14</v>
      </c>
      <c r="K22" s="5" t="s">
        <v>100</v>
      </c>
      <c r="L22" s="17" t="s">
        <v>101</v>
      </c>
    </row>
    <row r="23" spans="1:12" ht="19.5" customHeight="1">
      <c r="A23" s="16" t="s">
        <v>148</v>
      </c>
      <c r="B23" s="9" t="s">
        <v>149</v>
      </c>
      <c r="C23" s="9" t="s">
        <v>145</v>
      </c>
      <c r="D23" s="2" t="s">
        <v>102</v>
      </c>
      <c r="E23" s="2">
        <v>45</v>
      </c>
      <c r="F23" s="2">
        <v>21</v>
      </c>
      <c r="G23" s="2">
        <v>120</v>
      </c>
      <c r="H23" s="58">
        <v>46132</v>
      </c>
      <c r="I23" s="9" t="s">
        <v>99</v>
      </c>
      <c r="J23" s="2">
        <v>20</v>
      </c>
      <c r="K23" s="2" t="s">
        <v>100</v>
      </c>
      <c r="L23" s="18" t="s">
        <v>101</v>
      </c>
    </row>
    <row r="24" spans="1:12" ht="19.5" customHeight="1">
      <c r="A24" s="15" t="s">
        <v>150</v>
      </c>
      <c r="B24" s="8" t="s">
        <v>151</v>
      </c>
      <c r="C24" s="8" t="s">
        <v>145</v>
      </c>
      <c r="D24" s="5" t="s">
        <v>102</v>
      </c>
      <c r="E24" s="5">
        <v>18</v>
      </c>
      <c r="F24" s="5">
        <v>8</v>
      </c>
      <c r="G24" s="5">
        <v>200</v>
      </c>
      <c r="H24" s="57">
        <v>46188</v>
      </c>
      <c r="I24" s="8" t="s">
        <v>119</v>
      </c>
      <c r="J24" s="5">
        <v>30</v>
      </c>
      <c r="K24" s="5" t="s">
        <v>100</v>
      </c>
      <c r="L24" s="17" t="s">
        <v>101</v>
      </c>
    </row>
    <row r="25" spans="1:12" ht="19.5" customHeight="1">
      <c r="A25" s="16" t="s">
        <v>152</v>
      </c>
      <c r="B25" s="9" t="s">
        <v>153</v>
      </c>
      <c r="C25" s="9" t="s">
        <v>145</v>
      </c>
      <c r="D25" s="2" t="s">
        <v>102</v>
      </c>
      <c r="E25" s="2">
        <v>28</v>
      </c>
      <c r="F25" s="2">
        <v>13</v>
      </c>
      <c r="G25" s="2">
        <v>150</v>
      </c>
      <c r="H25" s="58">
        <v>46772</v>
      </c>
      <c r="I25" s="9" t="s">
        <v>105</v>
      </c>
      <c r="J25" s="2">
        <v>30</v>
      </c>
      <c r="K25" s="2" t="s">
        <v>100</v>
      </c>
      <c r="L25" s="18" t="s">
        <v>101</v>
      </c>
    </row>
    <row r="26" spans="1:12" ht="19.5" customHeight="1">
      <c r="A26" s="15" t="s">
        <v>154</v>
      </c>
      <c r="B26" s="8" t="s">
        <v>155</v>
      </c>
      <c r="C26" s="8" t="s">
        <v>145</v>
      </c>
      <c r="D26" s="5" t="s">
        <v>102</v>
      </c>
      <c r="E26" s="5">
        <v>85</v>
      </c>
      <c r="F26" s="5">
        <v>41</v>
      </c>
      <c r="G26" s="5">
        <v>80</v>
      </c>
      <c r="H26" s="57">
        <v>46469</v>
      </c>
      <c r="I26" s="8" t="s">
        <v>99</v>
      </c>
      <c r="J26" s="5">
        <v>20</v>
      </c>
      <c r="K26" s="5" t="s">
        <v>100</v>
      </c>
      <c r="L26" s="17" t="s">
        <v>101</v>
      </c>
    </row>
    <row r="27" spans="1:12" ht="19.5" customHeight="1">
      <c r="A27" s="16" t="s">
        <v>156</v>
      </c>
      <c r="B27" s="9" t="s">
        <v>157</v>
      </c>
      <c r="C27" s="9" t="s">
        <v>145</v>
      </c>
      <c r="D27" s="2" t="s">
        <v>102</v>
      </c>
      <c r="E27" s="2">
        <v>75</v>
      </c>
      <c r="F27" s="2">
        <v>36</v>
      </c>
      <c r="G27" s="2">
        <v>100</v>
      </c>
      <c r="H27" s="58">
        <v>46366</v>
      </c>
      <c r="I27" s="9" t="s">
        <v>141</v>
      </c>
      <c r="J27" s="2">
        <v>30</v>
      </c>
      <c r="K27" s="2" t="s">
        <v>100</v>
      </c>
      <c r="L27" s="18" t="s">
        <v>101</v>
      </c>
    </row>
    <row r="28" spans="1:12" ht="19.5" customHeight="1">
      <c r="A28" s="15" t="s">
        <v>158</v>
      </c>
      <c r="B28" s="8" t="s">
        <v>159</v>
      </c>
      <c r="C28" s="8" t="s">
        <v>160</v>
      </c>
      <c r="D28" s="5" t="s">
        <v>102</v>
      </c>
      <c r="E28" s="5">
        <v>28</v>
      </c>
      <c r="F28" s="5">
        <v>13</v>
      </c>
      <c r="G28" s="5">
        <v>200</v>
      </c>
      <c r="H28" s="57">
        <v>46479</v>
      </c>
      <c r="I28" s="8" t="s">
        <v>103</v>
      </c>
      <c r="J28" s="5">
        <v>10</v>
      </c>
      <c r="K28" s="5" t="s">
        <v>100</v>
      </c>
      <c r="L28" s="17" t="s">
        <v>101</v>
      </c>
    </row>
    <row r="29" spans="1:12" ht="19.5" customHeight="1">
      <c r="A29" s="16" t="s">
        <v>161</v>
      </c>
      <c r="B29" s="9" t="s">
        <v>162</v>
      </c>
      <c r="C29" s="9" t="s">
        <v>160</v>
      </c>
      <c r="D29" s="2" t="s">
        <v>102</v>
      </c>
      <c r="E29" s="2">
        <v>45</v>
      </c>
      <c r="F29" s="2">
        <v>21</v>
      </c>
      <c r="G29" s="2">
        <v>150</v>
      </c>
      <c r="H29" s="58">
        <v>46130</v>
      </c>
      <c r="I29" s="9" t="s">
        <v>122</v>
      </c>
      <c r="J29" s="2">
        <v>10</v>
      </c>
      <c r="K29" s="2" t="s">
        <v>100</v>
      </c>
      <c r="L29" s="18" t="s">
        <v>101</v>
      </c>
    </row>
    <row r="30" spans="1:12" ht="19.5" customHeight="1">
      <c r="A30" s="15" t="s">
        <v>163</v>
      </c>
      <c r="B30" s="8" t="s">
        <v>164</v>
      </c>
      <c r="C30" s="8" t="s">
        <v>160</v>
      </c>
      <c r="D30" s="5" t="s">
        <v>102</v>
      </c>
      <c r="E30" s="5">
        <v>22</v>
      </c>
      <c r="F30" s="5">
        <v>10</v>
      </c>
      <c r="G30" s="5">
        <v>180</v>
      </c>
      <c r="H30" s="57">
        <v>46440</v>
      </c>
      <c r="I30" s="8" t="s">
        <v>105</v>
      </c>
      <c r="J30" s="5">
        <v>14</v>
      </c>
      <c r="K30" s="5" t="s">
        <v>100</v>
      </c>
      <c r="L30" s="17" t="s">
        <v>101</v>
      </c>
    </row>
    <row r="31" spans="1:12" ht="19.5" customHeight="1">
      <c r="A31" s="16" t="s">
        <v>165</v>
      </c>
      <c r="B31" s="9" t="s">
        <v>166</v>
      </c>
      <c r="C31" s="9" t="s">
        <v>160</v>
      </c>
      <c r="D31" s="2" t="s">
        <v>102</v>
      </c>
      <c r="E31" s="2">
        <v>285</v>
      </c>
      <c r="F31" s="2">
        <v>140</v>
      </c>
      <c r="G31" s="2">
        <v>50</v>
      </c>
      <c r="H31" s="58">
        <v>46529</v>
      </c>
      <c r="I31" s="9" t="s">
        <v>103</v>
      </c>
      <c r="J31" s="2">
        <v>20</v>
      </c>
      <c r="K31" s="2" t="s">
        <v>100</v>
      </c>
      <c r="L31" s="18" t="s">
        <v>101</v>
      </c>
    </row>
    <row r="32" spans="1:12" ht="19.5" customHeight="1">
      <c r="A32" s="15" t="s">
        <v>167</v>
      </c>
      <c r="B32" s="8" t="s">
        <v>168</v>
      </c>
      <c r="C32" s="8" t="s">
        <v>160</v>
      </c>
      <c r="D32" s="5" t="s">
        <v>102</v>
      </c>
      <c r="E32" s="5">
        <v>65</v>
      </c>
      <c r="F32" s="5">
        <v>31</v>
      </c>
      <c r="G32" s="5">
        <v>130</v>
      </c>
      <c r="H32" s="57">
        <v>46140</v>
      </c>
      <c r="I32" s="8" t="s">
        <v>116</v>
      </c>
      <c r="J32" s="5">
        <v>10</v>
      </c>
      <c r="K32" s="5" t="s">
        <v>100</v>
      </c>
      <c r="L32" s="17" t="s">
        <v>101</v>
      </c>
    </row>
    <row r="33" spans="1:12" ht="19.5" customHeight="1">
      <c r="A33" s="16" t="s">
        <v>169</v>
      </c>
      <c r="B33" s="9" t="s">
        <v>170</v>
      </c>
      <c r="C33" s="9" t="s">
        <v>160</v>
      </c>
      <c r="D33" s="2" t="s">
        <v>171</v>
      </c>
      <c r="E33" s="2">
        <v>850</v>
      </c>
      <c r="F33" s="2">
        <v>420</v>
      </c>
      <c r="G33" s="2">
        <v>20</v>
      </c>
      <c r="H33" s="58">
        <v>46600</v>
      </c>
      <c r="I33" s="9" t="s">
        <v>103</v>
      </c>
      <c r="J33" s="2">
        <v>30</v>
      </c>
      <c r="K33" s="2" t="s">
        <v>100</v>
      </c>
      <c r="L33" s="18" t="s">
        <v>101</v>
      </c>
    </row>
    <row r="34" spans="1:12" ht="19.5" customHeight="1">
      <c r="A34" s="15" t="s">
        <v>172</v>
      </c>
      <c r="B34" s="8" t="s">
        <v>173</v>
      </c>
      <c r="C34" s="8" t="s">
        <v>174</v>
      </c>
      <c r="D34" s="5" t="s">
        <v>102</v>
      </c>
      <c r="E34" s="5">
        <v>38</v>
      </c>
      <c r="F34" s="5">
        <v>18</v>
      </c>
      <c r="G34" s="5">
        <v>200</v>
      </c>
      <c r="H34" s="57">
        <v>46123</v>
      </c>
      <c r="I34" s="8" t="s">
        <v>128</v>
      </c>
      <c r="J34" s="5">
        <v>30</v>
      </c>
      <c r="K34" s="5" t="s">
        <v>100</v>
      </c>
      <c r="L34" s="17" t="s">
        <v>101</v>
      </c>
    </row>
    <row r="35" spans="1:12" ht="19.5" customHeight="1">
      <c r="A35" s="16" t="s">
        <v>175</v>
      </c>
      <c r="B35" s="9" t="s">
        <v>176</v>
      </c>
      <c r="C35" s="9" t="s">
        <v>174</v>
      </c>
      <c r="D35" s="2" t="s">
        <v>102</v>
      </c>
      <c r="E35" s="2">
        <v>25</v>
      </c>
      <c r="F35" s="2">
        <v>12</v>
      </c>
      <c r="G35" s="2">
        <v>200</v>
      </c>
      <c r="H35" s="58">
        <v>46121</v>
      </c>
      <c r="I35" s="9" t="s">
        <v>122</v>
      </c>
      <c r="J35" s="2">
        <v>20</v>
      </c>
      <c r="K35" s="2" t="s">
        <v>100</v>
      </c>
      <c r="L35" s="18" t="s">
        <v>101</v>
      </c>
    </row>
    <row r="36" spans="1:12" ht="19.5" customHeight="1">
      <c r="A36" s="15" t="s">
        <v>177</v>
      </c>
      <c r="B36" s="8" t="s">
        <v>178</v>
      </c>
      <c r="C36" s="8" t="s">
        <v>174</v>
      </c>
      <c r="D36" s="5" t="s">
        <v>102</v>
      </c>
      <c r="E36" s="5">
        <v>45</v>
      </c>
      <c r="F36" s="5">
        <v>21</v>
      </c>
      <c r="G36" s="5">
        <v>150</v>
      </c>
      <c r="H36" s="57">
        <v>46648</v>
      </c>
      <c r="I36" s="8" t="s">
        <v>125</v>
      </c>
      <c r="J36" s="5">
        <v>14</v>
      </c>
      <c r="K36" s="5" t="s">
        <v>100</v>
      </c>
      <c r="L36" s="17" t="s">
        <v>101</v>
      </c>
    </row>
    <row r="37" spans="1:12" ht="19.5" customHeight="1">
      <c r="A37" s="16" t="s">
        <v>179</v>
      </c>
      <c r="B37" s="9" t="s">
        <v>180</v>
      </c>
      <c r="C37" s="9" t="s">
        <v>174</v>
      </c>
      <c r="D37" s="2" t="s">
        <v>102</v>
      </c>
      <c r="E37" s="2">
        <v>55</v>
      </c>
      <c r="F37" s="2">
        <v>26</v>
      </c>
      <c r="G37" s="2">
        <v>130</v>
      </c>
      <c r="H37" s="58">
        <v>46130</v>
      </c>
      <c r="I37" s="9" t="s">
        <v>125</v>
      </c>
      <c r="J37" s="2">
        <v>20</v>
      </c>
      <c r="K37" s="2" t="s">
        <v>100</v>
      </c>
      <c r="L37" s="18" t="s">
        <v>101</v>
      </c>
    </row>
    <row r="38" spans="1:12" ht="19.5" customHeight="1">
      <c r="A38" s="15" t="s">
        <v>181</v>
      </c>
      <c r="B38" s="8" t="s">
        <v>182</v>
      </c>
      <c r="C38" s="8" t="s">
        <v>174</v>
      </c>
      <c r="D38" s="5" t="s">
        <v>102</v>
      </c>
      <c r="E38" s="5">
        <v>85</v>
      </c>
      <c r="F38" s="5">
        <v>41</v>
      </c>
      <c r="G38" s="5">
        <v>100</v>
      </c>
      <c r="H38" s="57">
        <v>46143</v>
      </c>
      <c r="I38" s="8" t="s">
        <v>103</v>
      </c>
      <c r="J38" s="5">
        <v>30</v>
      </c>
      <c r="K38" s="5" t="s">
        <v>100</v>
      </c>
      <c r="L38" s="17" t="s">
        <v>101</v>
      </c>
    </row>
    <row r="39" spans="1:12" ht="19.5" customHeight="1">
      <c r="A39" s="16" t="s">
        <v>183</v>
      </c>
      <c r="B39" s="9" t="s">
        <v>184</v>
      </c>
      <c r="C39" s="9" t="s">
        <v>174</v>
      </c>
      <c r="D39" s="2" t="s">
        <v>102</v>
      </c>
      <c r="E39" s="2">
        <v>65</v>
      </c>
      <c r="F39" s="2">
        <v>31</v>
      </c>
      <c r="G39" s="2">
        <v>120</v>
      </c>
      <c r="H39" s="58">
        <v>46658</v>
      </c>
      <c r="I39" s="9" t="s">
        <v>119</v>
      </c>
      <c r="J39" s="2">
        <v>20</v>
      </c>
      <c r="K39" s="2" t="s">
        <v>100</v>
      </c>
      <c r="L39" s="18" t="s">
        <v>101</v>
      </c>
    </row>
    <row r="40" spans="1:12" ht="19.5" customHeight="1">
      <c r="A40" s="15" t="s">
        <v>185</v>
      </c>
      <c r="B40" s="8" t="s">
        <v>186</v>
      </c>
      <c r="C40" s="8" t="s">
        <v>187</v>
      </c>
      <c r="D40" s="5" t="s">
        <v>102</v>
      </c>
      <c r="E40" s="5">
        <v>22</v>
      </c>
      <c r="F40" s="5">
        <v>10</v>
      </c>
      <c r="G40" s="5">
        <v>200</v>
      </c>
      <c r="H40" s="57">
        <v>46795</v>
      </c>
      <c r="I40" s="8" t="s">
        <v>111</v>
      </c>
      <c r="J40" s="5">
        <v>14</v>
      </c>
      <c r="K40" s="5" t="s">
        <v>100</v>
      </c>
      <c r="L40" s="17" t="s">
        <v>101</v>
      </c>
    </row>
    <row r="41" spans="1:12" ht="19.5" customHeight="1">
      <c r="A41" s="16" t="s">
        <v>188</v>
      </c>
      <c r="B41" s="9" t="s">
        <v>189</v>
      </c>
      <c r="C41" s="9" t="s">
        <v>187</v>
      </c>
      <c r="D41" s="2" t="s">
        <v>102</v>
      </c>
      <c r="E41" s="2">
        <v>28</v>
      </c>
      <c r="F41" s="2">
        <v>13</v>
      </c>
      <c r="G41" s="2">
        <v>150</v>
      </c>
      <c r="H41" s="58">
        <v>46748</v>
      </c>
      <c r="I41" s="9" t="s">
        <v>119</v>
      </c>
      <c r="J41" s="2">
        <v>10</v>
      </c>
      <c r="K41" s="2" t="s">
        <v>100</v>
      </c>
      <c r="L41" s="18" t="s">
        <v>101</v>
      </c>
    </row>
    <row r="42" spans="1:12" ht="19.5" customHeight="1">
      <c r="A42" s="15" t="s">
        <v>190</v>
      </c>
      <c r="B42" s="8" t="s">
        <v>191</v>
      </c>
      <c r="C42" s="8" t="s">
        <v>187</v>
      </c>
      <c r="D42" s="5" t="s">
        <v>102</v>
      </c>
      <c r="E42" s="5">
        <v>65</v>
      </c>
      <c r="F42" s="5">
        <v>31</v>
      </c>
      <c r="G42" s="5">
        <v>100</v>
      </c>
      <c r="H42" s="57">
        <v>46126</v>
      </c>
      <c r="I42" s="8" t="s">
        <v>99</v>
      </c>
      <c r="J42" s="5">
        <v>10</v>
      </c>
      <c r="K42" s="5" t="s">
        <v>100</v>
      </c>
      <c r="L42" s="17" t="s">
        <v>101</v>
      </c>
    </row>
    <row r="43" spans="1:12" ht="19.5" customHeight="1">
      <c r="A43" s="16" t="s">
        <v>192</v>
      </c>
      <c r="B43" s="9" t="s">
        <v>193</v>
      </c>
      <c r="C43" s="9" t="s">
        <v>187</v>
      </c>
      <c r="D43" s="2" t="s">
        <v>102</v>
      </c>
      <c r="E43" s="2">
        <v>15</v>
      </c>
      <c r="F43" s="2">
        <v>7</v>
      </c>
      <c r="G43" s="2">
        <v>200</v>
      </c>
      <c r="H43" s="58">
        <v>46376</v>
      </c>
      <c r="I43" s="9" t="s">
        <v>128</v>
      </c>
      <c r="J43" s="2">
        <v>10</v>
      </c>
      <c r="K43" s="2" t="s">
        <v>100</v>
      </c>
      <c r="L43" s="18" t="s">
        <v>101</v>
      </c>
    </row>
    <row r="44" spans="1:12" ht="19.5" customHeight="1">
      <c r="A44" s="15" t="s">
        <v>194</v>
      </c>
      <c r="B44" s="8" t="s">
        <v>195</v>
      </c>
      <c r="C44" s="8" t="s">
        <v>187</v>
      </c>
      <c r="D44" s="5" t="s">
        <v>102</v>
      </c>
      <c r="E44" s="5">
        <v>75</v>
      </c>
      <c r="F44" s="5">
        <v>36</v>
      </c>
      <c r="G44" s="5">
        <v>100</v>
      </c>
      <c r="H44" s="57">
        <v>46597</v>
      </c>
      <c r="I44" s="8" t="s">
        <v>119</v>
      </c>
      <c r="J44" s="5">
        <v>14</v>
      </c>
      <c r="K44" s="5" t="s">
        <v>100</v>
      </c>
      <c r="L44" s="17" t="s">
        <v>101</v>
      </c>
    </row>
    <row r="45" spans="1:12" ht="19.5" customHeight="1">
      <c r="A45" s="16" t="s">
        <v>196</v>
      </c>
      <c r="B45" s="9" t="s">
        <v>197</v>
      </c>
      <c r="C45" s="9" t="s">
        <v>198</v>
      </c>
      <c r="D45" s="2" t="s">
        <v>199</v>
      </c>
      <c r="E45" s="2">
        <v>185</v>
      </c>
      <c r="F45" s="2">
        <v>90</v>
      </c>
      <c r="G45" s="2">
        <v>40</v>
      </c>
      <c r="H45" s="58">
        <v>46489</v>
      </c>
      <c r="I45" s="9" t="s">
        <v>122</v>
      </c>
      <c r="J45" s="2">
        <v>10</v>
      </c>
      <c r="K45" s="2" t="s">
        <v>100</v>
      </c>
      <c r="L45" s="18" t="s">
        <v>101</v>
      </c>
    </row>
    <row r="46" spans="1:12" ht="19.5" customHeight="1">
      <c r="A46" s="15" t="s">
        <v>200</v>
      </c>
      <c r="B46" s="8" t="s">
        <v>201</v>
      </c>
      <c r="C46" s="8" t="s">
        <v>198</v>
      </c>
      <c r="D46" s="5" t="s">
        <v>199</v>
      </c>
      <c r="E46" s="5">
        <v>175</v>
      </c>
      <c r="F46" s="5">
        <v>85</v>
      </c>
      <c r="G46" s="5">
        <v>40</v>
      </c>
      <c r="H46" s="57">
        <v>46550</v>
      </c>
      <c r="I46" s="8" t="s">
        <v>122</v>
      </c>
      <c r="J46" s="5">
        <v>20</v>
      </c>
      <c r="K46" s="5" t="s">
        <v>100</v>
      </c>
      <c r="L46" s="17" t="s">
        <v>101</v>
      </c>
    </row>
    <row r="47" spans="1:12" ht="19.5" customHeight="1">
      <c r="A47" s="16" t="s">
        <v>202</v>
      </c>
      <c r="B47" s="9" t="s">
        <v>203</v>
      </c>
      <c r="C47" s="9" t="s">
        <v>198</v>
      </c>
      <c r="D47" s="2" t="s">
        <v>199</v>
      </c>
      <c r="E47" s="2">
        <v>145</v>
      </c>
      <c r="F47" s="2">
        <v>70</v>
      </c>
      <c r="G47" s="2">
        <v>50</v>
      </c>
      <c r="H47" s="58">
        <v>46471</v>
      </c>
      <c r="I47" s="9" t="s">
        <v>105</v>
      </c>
      <c r="J47" s="2">
        <v>10</v>
      </c>
      <c r="K47" s="2" t="s">
        <v>100</v>
      </c>
      <c r="L47" s="18" t="s">
        <v>101</v>
      </c>
    </row>
    <row r="48" spans="1:12" ht="19.5" customHeight="1">
      <c r="A48" s="15" t="s">
        <v>204</v>
      </c>
      <c r="B48" s="8" t="s">
        <v>205</v>
      </c>
      <c r="C48" s="8" t="s">
        <v>198</v>
      </c>
      <c r="D48" s="5" t="s">
        <v>199</v>
      </c>
      <c r="E48" s="5">
        <v>85</v>
      </c>
      <c r="F48" s="5">
        <v>41</v>
      </c>
      <c r="G48" s="5">
        <v>60</v>
      </c>
      <c r="H48" s="57">
        <v>46336</v>
      </c>
      <c r="I48" s="8" t="s">
        <v>116</v>
      </c>
      <c r="J48" s="5">
        <v>10</v>
      </c>
      <c r="K48" s="5" t="s">
        <v>100</v>
      </c>
      <c r="L48" s="17" t="s">
        <v>101</v>
      </c>
    </row>
    <row r="49" spans="1:12" ht="19.5" customHeight="1">
      <c r="A49" s="16" t="s">
        <v>206</v>
      </c>
      <c r="B49" s="9" t="s">
        <v>207</v>
      </c>
      <c r="C49" s="9" t="s">
        <v>198</v>
      </c>
      <c r="D49" s="2" t="s">
        <v>208</v>
      </c>
      <c r="E49" s="2">
        <v>165</v>
      </c>
      <c r="F49" s="2">
        <v>80</v>
      </c>
      <c r="G49" s="2">
        <v>40</v>
      </c>
      <c r="H49" s="58">
        <v>46805</v>
      </c>
      <c r="I49" s="9" t="s">
        <v>128</v>
      </c>
      <c r="J49" s="2">
        <v>20</v>
      </c>
      <c r="K49" s="2" t="s">
        <v>100</v>
      </c>
      <c r="L49" s="18" t="s">
        <v>101</v>
      </c>
    </row>
    <row r="50" spans="1:12" ht="19.5" customHeight="1">
      <c r="A50" s="15" t="s">
        <v>209</v>
      </c>
      <c r="B50" s="8" t="s">
        <v>210</v>
      </c>
      <c r="C50" s="8" t="s">
        <v>211</v>
      </c>
      <c r="D50" s="5" t="s">
        <v>212</v>
      </c>
      <c r="E50" s="5">
        <v>95</v>
      </c>
      <c r="F50" s="5">
        <v>46</v>
      </c>
      <c r="G50" s="5">
        <v>80</v>
      </c>
      <c r="H50" s="57">
        <v>46107</v>
      </c>
      <c r="I50" s="8" t="s">
        <v>119</v>
      </c>
      <c r="J50" s="5">
        <v>30</v>
      </c>
      <c r="K50" s="5" t="s">
        <v>100</v>
      </c>
      <c r="L50" s="17" t="s">
        <v>101</v>
      </c>
    </row>
    <row r="51" spans="1:12" ht="19.5" customHeight="1">
      <c r="A51" s="16" t="s">
        <v>213</v>
      </c>
      <c r="B51" s="9" t="s">
        <v>214</v>
      </c>
      <c r="C51" s="9" t="s">
        <v>211</v>
      </c>
      <c r="D51" s="2" t="s">
        <v>212</v>
      </c>
      <c r="E51" s="2">
        <v>85</v>
      </c>
      <c r="F51" s="2">
        <v>41</v>
      </c>
      <c r="G51" s="2">
        <v>80</v>
      </c>
      <c r="H51" s="58">
        <v>46815</v>
      </c>
      <c r="I51" s="9" t="s">
        <v>99</v>
      </c>
      <c r="J51" s="2">
        <v>10</v>
      </c>
      <c r="K51" s="2" t="s">
        <v>100</v>
      </c>
      <c r="L51" s="18" t="s">
        <v>101</v>
      </c>
    </row>
    <row r="52" spans="1:12" ht="19.5" customHeight="1">
      <c r="A52" s="15" t="s">
        <v>215</v>
      </c>
      <c r="B52" s="8" t="s">
        <v>216</v>
      </c>
      <c r="C52" s="8" t="s">
        <v>211</v>
      </c>
      <c r="D52" s="5" t="s">
        <v>102</v>
      </c>
      <c r="E52" s="5">
        <v>35</v>
      </c>
      <c r="F52" s="5">
        <v>17</v>
      </c>
      <c r="G52" s="5">
        <v>100</v>
      </c>
      <c r="H52" s="57">
        <v>46058</v>
      </c>
      <c r="I52" s="8" t="s">
        <v>99</v>
      </c>
      <c r="J52" s="5">
        <v>14</v>
      </c>
      <c r="K52" s="5" t="s">
        <v>100</v>
      </c>
      <c r="L52" s="17" t="s">
        <v>101</v>
      </c>
    </row>
    <row r="53" spans="1:12" ht="19.5" customHeight="1">
      <c r="A53" s="16" t="s">
        <v>217</v>
      </c>
      <c r="B53" s="9" t="s">
        <v>35</v>
      </c>
      <c r="C53" s="9" t="s">
        <v>211</v>
      </c>
      <c r="D53" s="2" t="s">
        <v>102</v>
      </c>
      <c r="E53" s="2">
        <v>45</v>
      </c>
      <c r="F53" s="2">
        <v>21</v>
      </c>
      <c r="G53" s="2">
        <v>80</v>
      </c>
      <c r="H53" s="58">
        <v>46091</v>
      </c>
      <c r="I53" s="9" t="s">
        <v>125</v>
      </c>
      <c r="J53" s="2">
        <v>20</v>
      </c>
      <c r="K53" s="2" t="s">
        <v>100</v>
      </c>
      <c r="L53" s="18" t="s">
        <v>101</v>
      </c>
    </row>
    <row r="54" spans="1:12" ht="19.5" customHeight="1">
      <c r="A54" s="15" t="s">
        <v>218</v>
      </c>
      <c r="B54" s="8" t="s">
        <v>219</v>
      </c>
      <c r="C54" s="8" t="s">
        <v>211</v>
      </c>
      <c r="D54" s="5" t="s">
        <v>102</v>
      </c>
      <c r="E54" s="5">
        <v>38</v>
      </c>
      <c r="F54" s="5">
        <v>18</v>
      </c>
      <c r="G54" s="5">
        <v>100</v>
      </c>
      <c r="H54" s="57">
        <v>46114</v>
      </c>
      <c r="I54" s="8" t="s">
        <v>125</v>
      </c>
      <c r="J54" s="5">
        <v>10</v>
      </c>
      <c r="K54" s="5" t="s">
        <v>100</v>
      </c>
      <c r="L54" s="17" t="s">
        <v>101</v>
      </c>
    </row>
    <row r="55" spans="1:12" ht="19.5" customHeight="1">
      <c r="A55" s="16" t="s">
        <v>220</v>
      </c>
      <c r="B55" s="9" t="s">
        <v>221</v>
      </c>
      <c r="C55" s="9" t="s">
        <v>211</v>
      </c>
      <c r="D55" s="2" t="s">
        <v>212</v>
      </c>
      <c r="E55" s="2">
        <v>75</v>
      </c>
      <c r="F55" s="2">
        <v>36</v>
      </c>
      <c r="G55" s="2">
        <v>80</v>
      </c>
      <c r="H55" s="58">
        <v>46613</v>
      </c>
      <c r="I55" s="9" t="s">
        <v>111</v>
      </c>
      <c r="J55" s="2">
        <v>14</v>
      </c>
      <c r="K55" s="2" t="s">
        <v>100</v>
      </c>
      <c r="L55" s="18" t="s">
        <v>101</v>
      </c>
    </row>
    <row r="56" spans="1:12" ht="19.5" customHeight="1">
      <c r="A56" s="15" t="s">
        <v>222</v>
      </c>
      <c r="B56" s="8" t="s">
        <v>223</v>
      </c>
      <c r="C56" s="8" t="s">
        <v>224</v>
      </c>
      <c r="D56" s="5" t="s">
        <v>225</v>
      </c>
      <c r="E56" s="5">
        <v>95</v>
      </c>
      <c r="F56" s="5">
        <v>46</v>
      </c>
      <c r="G56" s="5">
        <v>60</v>
      </c>
      <c r="H56" s="57">
        <v>46119</v>
      </c>
      <c r="I56" s="8" t="s">
        <v>128</v>
      </c>
      <c r="J56" s="5">
        <v>10</v>
      </c>
      <c r="K56" s="5" t="s">
        <v>100</v>
      </c>
      <c r="L56" s="17" t="s">
        <v>101</v>
      </c>
    </row>
    <row r="57" spans="1:12" ht="19.5" customHeight="1">
      <c r="A57" s="16" t="s">
        <v>226</v>
      </c>
      <c r="B57" s="9" t="s">
        <v>227</v>
      </c>
      <c r="C57" s="9" t="s">
        <v>224</v>
      </c>
      <c r="D57" s="2" t="s">
        <v>228</v>
      </c>
      <c r="E57" s="2">
        <v>85</v>
      </c>
      <c r="F57" s="2">
        <v>41</v>
      </c>
      <c r="G57" s="2">
        <v>80</v>
      </c>
      <c r="H57" s="58">
        <v>46806</v>
      </c>
      <c r="I57" s="9" t="s">
        <v>128</v>
      </c>
      <c r="J57" s="2">
        <v>20</v>
      </c>
      <c r="K57" s="2" t="s">
        <v>100</v>
      </c>
      <c r="L57" s="18" t="s">
        <v>101</v>
      </c>
    </row>
    <row r="58" spans="1:12" ht="19.5" customHeight="1">
      <c r="A58" s="15" t="s">
        <v>229</v>
      </c>
      <c r="B58" s="8" t="s">
        <v>230</v>
      </c>
      <c r="C58" s="8" t="s">
        <v>224</v>
      </c>
      <c r="D58" s="5" t="s">
        <v>228</v>
      </c>
      <c r="E58" s="5">
        <v>75</v>
      </c>
      <c r="F58" s="5">
        <v>36</v>
      </c>
      <c r="G58" s="5">
        <v>80</v>
      </c>
      <c r="H58" s="57">
        <v>46065</v>
      </c>
      <c r="I58" s="8" t="s">
        <v>122</v>
      </c>
      <c r="J58" s="5">
        <v>30</v>
      </c>
      <c r="K58" s="5" t="s">
        <v>100</v>
      </c>
      <c r="L58" s="17" t="s">
        <v>101</v>
      </c>
    </row>
    <row r="59" spans="1:12" ht="19.5" customHeight="1">
      <c r="A59" s="16" t="s">
        <v>231</v>
      </c>
      <c r="B59" s="9" t="s">
        <v>232</v>
      </c>
      <c r="C59" s="9" t="s">
        <v>224</v>
      </c>
      <c r="D59" s="2" t="s">
        <v>228</v>
      </c>
      <c r="E59" s="2">
        <v>125</v>
      </c>
      <c r="F59" s="2">
        <v>61</v>
      </c>
      <c r="G59" s="2">
        <v>60</v>
      </c>
      <c r="H59" s="58">
        <v>46492</v>
      </c>
      <c r="I59" s="9" t="s">
        <v>119</v>
      </c>
      <c r="J59" s="2">
        <v>20</v>
      </c>
      <c r="K59" s="2" t="s">
        <v>100</v>
      </c>
      <c r="L59" s="18" t="s">
        <v>101</v>
      </c>
    </row>
    <row r="60" spans="1:12" ht="19.5" customHeight="1">
      <c r="A60" s="15" t="s">
        <v>233</v>
      </c>
      <c r="B60" s="8" t="s">
        <v>234</v>
      </c>
      <c r="C60" s="8" t="s">
        <v>224</v>
      </c>
      <c r="D60" s="5" t="s">
        <v>228</v>
      </c>
      <c r="E60" s="5">
        <v>185</v>
      </c>
      <c r="F60" s="5">
        <v>90</v>
      </c>
      <c r="G60" s="5">
        <v>50</v>
      </c>
      <c r="H60" s="57">
        <v>46325</v>
      </c>
      <c r="I60" s="8" t="s">
        <v>128</v>
      </c>
      <c r="J60" s="5">
        <v>10</v>
      </c>
      <c r="K60" s="5" t="s">
        <v>100</v>
      </c>
      <c r="L60" s="17" t="s">
        <v>101</v>
      </c>
    </row>
    <row r="61" spans="1:12" ht="19.5" customHeight="1">
      <c r="A61" s="16" t="s">
        <v>235</v>
      </c>
      <c r="B61" s="9" t="s">
        <v>236</v>
      </c>
      <c r="C61" s="9" t="s">
        <v>224</v>
      </c>
      <c r="D61" s="2" t="s">
        <v>237</v>
      </c>
      <c r="E61" s="2">
        <v>145</v>
      </c>
      <c r="F61" s="2">
        <v>70</v>
      </c>
      <c r="G61" s="2">
        <v>60</v>
      </c>
      <c r="H61" s="58">
        <v>46332</v>
      </c>
      <c r="I61" s="9" t="s">
        <v>103</v>
      </c>
      <c r="J61" s="2">
        <v>20</v>
      </c>
      <c r="K61" s="2" t="s">
        <v>100</v>
      </c>
      <c r="L61" s="18" t="s">
        <v>101</v>
      </c>
    </row>
    <row r="62" spans="1:12" ht="19.5" customHeight="1">
      <c r="A62" s="15" t="s">
        <v>238</v>
      </c>
      <c r="B62" s="8" t="s">
        <v>239</v>
      </c>
      <c r="C62" s="8" t="s">
        <v>224</v>
      </c>
      <c r="D62" s="5" t="s">
        <v>237</v>
      </c>
      <c r="E62" s="5">
        <v>95</v>
      </c>
      <c r="F62" s="5">
        <v>46</v>
      </c>
      <c r="G62" s="5">
        <v>80</v>
      </c>
      <c r="H62" s="57">
        <v>46314</v>
      </c>
      <c r="I62" s="8" t="s">
        <v>119</v>
      </c>
      <c r="J62" s="5">
        <v>30</v>
      </c>
      <c r="K62" s="5" t="s">
        <v>100</v>
      </c>
      <c r="L62" s="17" t="s">
        <v>101</v>
      </c>
    </row>
    <row r="63" spans="1:12" ht="19.5" customHeight="1">
      <c r="A63" s="16" t="s">
        <v>240</v>
      </c>
      <c r="B63" s="9" t="s">
        <v>32</v>
      </c>
      <c r="C63" s="9" t="s">
        <v>97</v>
      </c>
      <c r="D63" s="2" t="s">
        <v>98</v>
      </c>
      <c r="E63" s="2">
        <v>165</v>
      </c>
      <c r="F63" s="2">
        <v>80</v>
      </c>
      <c r="G63" s="2">
        <v>70</v>
      </c>
      <c r="H63" s="58">
        <v>46083</v>
      </c>
      <c r="I63" s="9" t="s">
        <v>105</v>
      </c>
      <c r="J63" s="2">
        <v>10</v>
      </c>
      <c r="K63" s="2" t="s">
        <v>100</v>
      </c>
      <c r="L63" s="18" t="s">
        <v>101</v>
      </c>
    </row>
    <row r="64" spans="1:12" ht="19.5" customHeight="1">
      <c r="A64" s="15" t="s">
        <v>241</v>
      </c>
      <c r="B64" s="8" t="s">
        <v>242</v>
      </c>
      <c r="C64" s="8" t="s">
        <v>97</v>
      </c>
      <c r="D64" s="5" t="s">
        <v>102</v>
      </c>
      <c r="E64" s="5">
        <v>195</v>
      </c>
      <c r="F64" s="5">
        <v>95</v>
      </c>
      <c r="G64" s="5">
        <v>50</v>
      </c>
      <c r="H64" s="57">
        <v>46716</v>
      </c>
      <c r="I64" s="8" t="s">
        <v>116</v>
      </c>
      <c r="J64" s="5">
        <v>10</v>
      </c>
      <c r="K64" s="5" t="s">
        <v>100</v>
      </c>
      <c r="L64" s="17" t="s">
        <v>101</v>
      </c>
    </row>
    <row r="65" spans="1:12" ht="19.5" customHeight="1">
      <c r="A65" s="16" t="s">
        <v>243</v>
      </c>
      <c r="B65" s="9" t="s">
        <v>244</v>
      </c>
      <c r="C65" s="9" t="s">
        <v>97</v>
      </c>
      <c r="D65" s="2" t="s">
        <v>102</v>
      </c>
      <c r="E65" s="2">
        <v>185</v>
      </c>
      <c r="F65" s="2">
        <v>90</v>
      </c>
      <c r="G65" s="2">
        <v>60</v>
      </c>
      <c r="H65" s="58">
        <v>46399</v>
      </c>
      <c r="I65" s="9" t="s">
        <v>119</v>
      </c>
      <c r="J65" s="2">
        <v>14</v>
      </c>
      <c r="K65" s="2" t="s">
        <v>100</v>
      </c>
      <c r="L65" s="18" t="s">
        <v>101</v>
      </c>
    </row>
    <row r="66" spans="1:12" ht="19.5" customHeight="1">
      <c r="A66" s="15" t="s">
        <v>245</v>
      </c>
      <c r="B66" s="8" t="s">
        <v>246</v>
      </c>
      <c r="C66" s="8" t="s">
        <v>97</v>
      </c>
      <c r="D66" s="5" t="s">
        <v>98</v>
      </c>
      <c r="E66" s="5">
        <v>245</v>
      </c>
      <c r="F66" s="5">
        <v>120</v>
      </c>
      <c r="G66" s="5">
        <v>50</v>
      </c>
      <c r="H66" s="57">
        <v>46601</v>
      </c>
      <c r="I66" s="8" t="s">
        <v>116</v>
      </c>
      <c r="J66" s="5">
        <v>30</v>
      </c>
      <c r="K66" s="5" t="s">
        <v>100</v>
      </c>
      <c r="L66" s="17" t="s">
        <v>101</v>
      </c>
    </row>
    <row r="67" spans="1:12" ht="19.5" customHeight="1">
      <c r="A67" s="16" t="s">
        <v>247</v>
      </c>
      <c r="B67" s="9" t="s">
        <v>248</v>
      </c>
      <c r="C67" s="9" t="s">
        <v>97</v>
      </c>
      <c r="D67" s="2" t="s">
        <v>98</v>
      </c>
      <c r="E67" s="2">
        <v>125</v>
      </c>
      <c r="F67" s="2">
        <v>61</v>
      </c>
      <c r="G67" s="2">
        <v>70</v>
      </c>
      <c r="H67" s="58">
        <v>46608</v>
      </c>
      <c r="I67" s="9" t="s">
        <v>111</v>
      </c>
      <c r="J67" s="2">
        <v>10</v>
      </c>
      <c r="K67" s="2" t="s">
        <v>100</v>
      </c>
      <c r="L67" s="18" t="s">
        <v>101</v>
      </c>
    </row>
    <row r="68" spans="1:12" ht="19.5" customHeight="1">
      <c r="A68" s="15" t="s">
        <v>249</v>
      </c>
      <c r="B68" s="8" t="s">
        <v>250</v>
      </c>
      <c r="C68" s="8" t="s">
        <v>115</v>
      </c>
      <c r="D68" s="5" t="s">
        <v>102</v>
      </c>
      <c r="E68" s="5">
        <v>65</v>
      </c>
      <c r="F68" s="5">
        <v>31</v>
      </c>
      <c r="G68" s="5">
        <v>100</v>
      </c>
      <c r="H68" s="57">
        <v>46131</v>
      </c>
      <c r="I68" s="8" t="s">
        <v>116</v>
      </c>
      <c r="J68" s="5">
        <v>10</v>
      </c>
      <c r="K68" s="5" t="s">
        <v>100</v>
      </c>
      <c r="L68" s="17" t="s">
        <v>101</v>
      </c>
    </row>
    <row r="69" spans="1:12" ht="19.5" customHeight="1">
      <c r="A69" s="16" t="s">
        <v>251</v>
      </c>
      <c r="B69" s="9" t="s">
        <v>36</v>
      </c>
      <c r="C69" s="9" t="s">
        <v>115</v>
      </c>
      <c r="D69" s="2" t="s">
        <v>102</v>
      </c>
      <c r="E69" s="2">
        <v>85</v>
      </c>
      <c r="F69" s="2">
        <v>41</v>
      </c>
      <c r="G69" s="2">
        <v>80</v>
      </c>
      <c r="H69" s="58">
        <v>46188</v>
      </c>
      <c r="I69" s="9" t="s">
        <v>141</v>
      </c>
      <c r="J69" s="2">
        <v>30</v>
      </c>
      <c r="K69" s="2" t="s">
        <v>100</v>
      </c>
      <c r="L69" s="18" t="s">
        <v>101</v>
      </c>
    </row>
    <row r="70" spans="1:12" ht="19.5" customHeight="1">
      <c r="A70" s="15" t="s">
        <v>252</v>
      </c>
      <c r="B70" s="8" t="s">
        <v>253</v>
      </c>
      <c r="C70" s="8" t="s">
        <v>115</v>
      </c>
      <c r="D70" s="5" t="s">
        <v>98</v>
      </c>
      <c r="E70" s="5">
        <v>55</v>
      </c>
      <c r="F70" s="5">
        <v>26</v>
      </c>
      <c r="G70" s="5">
        <v>100</v>
      </c>
      <c r="H70" s="57">
        <v>46589</v>
      </c>
      <c r="I70" s="8" t="s">
        <v>125</v>
      </c>
      <c r="J70" s="5">
        <v>14</v>
      </c>
      <c r="K70" s="5" t="s">
        <v>100</v>
      </c>
      <c r="L70" s="17" t="s">
        <v>101</v>
      </c>
    </row>
    <row r="71" spans="1:12" ht="19.5" customHeight="1">
      <c r="A71" s="16" t="s">
        <v>254</v>
      </c>
      <c r="B71" s="9" t="s">
        <v>255</v>
      </c>
      <c r="C71" s="9" t="s">
        <v>133</v>
      </c>
      <c r="D71" s="2" t="s">
        <v>102</v>
      </c>
      <c r="E71" s="2">
        <v>65</v>
      </c>
      <c r="F71" s="2">
        <v>31</v>
      </c>
      <c r="G71" s="2">
        <v>120</v>
      </c>
      <c r="H71" s="58">
        <v>46080</v>
      </c>
      <c r="I71" s="9" t="s">
        <v>99</v>
      </c>
      <c r="J71" s="2">
        <v>10</v>
      </c>
      <c r="K71" s="2" t="s">
        <v>100</v>
      </c>
      <c r="L71" s="18" t="s">
        <v>101</v>
      </c>
    </row>
    <row r="72" spans="1:12" ht="19.5" customHeight="1">
      <c r="A72" s="15" t="s">
        <v>256</v>
      </c>
      <c r="B72" s="8" t="s">
        <v>257</v>
      </c>
      <c r="C72" s="8" t="s">
        <v>133</v>
      </c>
      <c r="D72" s="5" t="s">
        <v>102</v>
      </c>
      <c r="E72" s="5">
        <v>85</v>
      </c>
      <c r="F72" s="5">
        <v>41</v>
      </c>
      <c r="G72" s="5">
        <v>70</v>
      </c>
      <c r="H72" s="57">
        <v>46675</v>
      </c>
      <c r="I72" s="8" t="s">
        <v>128</v>
      </c>
      <c r="J72" s="5">
        <v>10</v>
      </c>
      <c r="K72" s="5" t="s">
        <v>100</v>
      </c>
      <c r="L72" s="17" t="s">
        <v>101</v>
      </c>
    </row>
    <row r="73" spans="1:12" ht="19.5" customHeight="1">
      <c r="A73" s="16" t="s">
        <v>258</v>
      </c>
      <c r="B73" s="9" t="s">
        <v>259</v>
      </c>
      <c r="C73" s="9" t="s">
        <v>133</v>
      </c>
      <c r="D73" s="2" t="s">
        <v>212</v>
      </c>
      <c r="E73" s="2">
        <v>65</v>
      </c>
      <c r="F73" s="2">
        <v>31</v>
      </c>
      <c r="G73" s="2">
        <v>80</v>
      </c>
      <c r="H73" s="58">
        <v>46378</v>
      </c>
      <c r="I73" s="9" t="s">
        <v>99</v>
      </c>
      <c r="J73" s="2">
        <v>14</v>
      </c>
      <c r="K73" s="2" t="s">
        <v>100</v>
      </c>
      <c r="L73" s="18" t="s">
        <v>101</v>
      </c>
    </row>
    <row r="74" spans="1:12" ht="19.5" customHeight="1">
      <c r="A74" s="15" t="s">
        <v>260</v>
      </c>
      <c r="B74" s="8" t="s">
        <v>261</v>
      </c>
      <c r="C74" s="8" t="s">
        <v>145</v>
      </c>
      <c r="D74" s="5" t="s">
        <v>102</v>
      </c>
      <c r="E74" s="5">
        <v>45</v>
      </c>
      <c r="F74" s="5">
        <v>21</v>
      </c>
      <c r="G74" s="5">
        <v>120</v>
      </c>
      <c r="H74" s="57">
        <v>46088</v>
      </c>
      <c r="I74" s="8" t="s">
        <v>122</v>
      </c>
      <c r="J74" s="5">
        <v>14</v>
      </c>
      <c r="K74" s="5" t="s">
        <v>100</v>
      </c>
      <c r="L74" s="17" t="s">
        <v>101</v>
      </c>
    </row>
    <row r="75" spans="1:12" ht="19.5" customHeight="1">
      <c r="A75" s="16" t="s">
        <v>262</v>
      </c>
      <c r="B75" s="9" t="s">
        <v>31</v>
      </c>
      <c r="C75" s="9" t="s">
        <v>145</v>
      </c>
      <c r="D75" s="2" t="s">
        <v>98</v>
      </c>
      <c r="E75" s="2">
        <v>185</v>
      </c>
      <c r="F75" s="2">
        <v>90</v>
      </c>
      <c r="G75" s="2">
        <v>60</v>
      </c>
      <c r="H75" s="58">
        <v>46523</v>
      </c>
      <c r="I75" s="9" t="s">
        <v>141</v>
      </c>
      <c r="J75" s="2">
        <v>10</v>
      </c>
      <c r="K75" s="2" t="s">
        <v>100</v>
      </c>
      <c r="L75" s="18" t="s">
        <v>101</v>
      </c>
    </row>
    <row r="76" spans="1:12" ht="19.5" customHeight="1">
      <c r="A76" s="15" t="s">
        <v>263</v>
      </c>
      <c r="B76" s="8" t="s">
        <v>264</v>
      </c>
      <c r="C76" s="8" t="s">
        <v>145</v>
      </c>
      <c r="D76" s="5" t="s">
        <v>98</v>
      </c>
      <c r="E76" s="5">
        <v>95</v>
      </c>
      <c r="F76" s="5">
        <v>46</v>
      </c>
      <c r="G76" s="5">
        <v>80</v>
      </c>
      <c r="H76" s="57">
        <v>46284</v>
      </c>
      <c r="I76" s="8" t="s">
        <v>116</v>
      </c>
      <c r="J76" s="5">
        <v>10</v>
      </c>
      <c r="K76" s="5" t="s">
        <v>100</v>
      </c>
      <c r="L76" s="17" t="s">
        <v>101</v>
      </c>
    </row>
    <row r="77" spans="1:12" ht="19.5" customHeight="1">
      <c r="A77" s="16" t="s">
        <v>265</v>
      </c>
      <c r="B77" s="9" t="s">
        <v>266</v>
      </c>
      <c r="C77" s="9" t="s">
        <v>160</v>
      </c>
      <c r="D77" s="2" t="s">
        <v>102</v>
      </c>
      <c r="E77" s="2">
        <v>125</v>
      </c>
      <c r="F77" s="2">
        <v>61</v>
      </c>
      <c r="G77" s="2">
        <v>70</v>
      </c>
      <c r="H77" s="58">
        <v>46403</v>
      </c>
      <c r="I77" s="9" t="s">
        <v>99</v>
      </c>
      <c r="J77" s="2">
        <v>20</v>
      </c>
      <c r="K77" s="2" t="s">
        <v>100</v>
      </c>
      <c r="L77" s="18" t="s">
        <v>101</v>
      </c>
    </row>
    <row r="78" spans="1:12" ht="19.5" customHeight="1">
      <c r="A78" s="15" t="s">
        <v>267</v>
      </c>
      <c r="B78" s="8" t="s">
        <v>268</v>
      </c>
      <c r="C78" s="8" t="s">
        <v>160</v>
      </c>
      <c r="D78" s="5" t="s">
        <v>102</v>
      </c>
      <c r="E78" s="5">
        <v>165</v>
      </c>
      <c r="F78" s="5">
        <v>80</v>
      </c>
      <c r="G78" s="5">
        <v>60</v>
      </c>
      <c r="H78" s="57">
        <v>46120</v>
      </c>
      <c r="I78" s="8" t="s">
        <v>128</v>
      </c>
      <c r="J78" s="5">
        <v>14</v>
      </c>
      <c r="K78" s="5" t="s">
        <v>100</v>
      </c>
      <c r="L78" s="17" t="s">
        <v>101</v>
      </c>
    </row>
    <row r="79" spans="1:12" ht="19.5" customHeight="1">
      <c r="A79" s="16" t="s">
        <v>269</v>
      </c>
      <c r="B79" s="9" t="s">
        <v>270</v>
      </c>
      <c r="C79" s="9" t="s">
        <v>160</v>
      </c>
      <c r="D79" s="2" t="s">
        <v>102</v>
      </c>
      <c r="E79" s="2">
        <v>385</v>
      </c>
      <c r="F79" s="2">
        <v>190</v>
      </c>
      <c r="G79" s="2">
        <v>30</v>
      </c>
      <c r="H79" s="58">
        <v>46287</v>
      </c>
      <c r="I79" s="9" t="s">
        <v>125</v>
      </c>
      <c r="J79" s="2">
        <v>30</v>
      </c>
      <c r="K79" s="2" t="s">
        <v>100</v>
      </c>
      <c r="L79" s="18" t="s">
        <v>101</v>
      </c>
    </row>
    <row r="80" spans="1:12" ht="19.5" customHeight="1">
      <c r="A80" s="15" t="s">
        <v>271</v>
      </c>
      <c r="B80" s="8" t="s">
        <v>272</v>
      </c>
      <c r="C80" s="8" t="s">
        <v>174</v>
      </c>
      <c r="D80" s="5" t="s">
        <v>102</v>
      </c>
      <c r="E80" s="5">
        <v>75</v>
      </c>
      <c r="F80" s="5">
        <v>36</v>
      </c>
      <c r="G80" s="5">
        <v>120</v>
      </c>
      <c r="H80" s="57">
        <v>46403</v>
      </c>
      <c r="I80" s="8" t="s">
        <v>119</v>
      </c>
      <c r="J80" s="5">
        <v>30</v>
      </c>
      <c r="K80" s="5" t="s">
        <v>100</v>
      </c>
      <c r="L80" s="17" t="s">
        <v>101</v>
      </c>
    </row>
    <row r="81" spans="1:12" ht="19.5" customHeight="1">
      <c r="A81" s="16" t="s">
        <v>273</v>
      </c>
      <c r="B81" s="9" t="s">
        <v>274</v>
      </c>
      <c r="C81" s="9" t="s">
        <v>174</v>
      </c>
      <c r="D81" s="2" t="s">
        <v>102</v>
      </c>
      <c r="E81" s="2">
        <v>125</v>
      </c>
      <c r="F81" s="2">
        <v>61</v>
      </c>
      <c r="G81" s="2">
        <v>80</v>
      </c>
      <c r="H81" s="58">
        <v>46757</v>
      </c>
      <c r="I81" s="9" t="s">
        <v>105</v>
      </c>
      <c r="J81" s="2">
        <v>14</v>
      </c>
      <c r="K81" s="2" t="s">
        <v>100</v>
      </c>
      <c r="L81" s="18" t="s">
        <v>101</v>
      </c>
    </row>
    <row r="82" spans="1:12" ht="19.5" customHeight="1">
      <c r="A82" s="15" t="s">
        <v>275</v>
      </c>
      <c r="B82" s="8" t="s">
        <v>276</v>
      </c>
      <c r="C82" s="8" t="s">
        <v>174</v>
      </c>
      <c r="D82" s="5" t="s">
        <v>102</v>
      </c>
      <c r="E82" s="5">
        <v>35</v>
      </c>
      <c r="F82" s="5">
        <v>17</v>
      </c>
      <c r="G82" s="5">
        <v>130</v>
      </c>
      <c r="H82" s="57">
        <v>46572</v>
      </c>
      <c r="I82" s="8" t="s">
        <v>99</v>
      </c>
      <c r="J82" s="5">
        <v>10</v>
      </c>
      <c r="K82" s="5" t="s">
        <v>100</v>
      </c>
      <c r="L82" s="17" t="s">
        <v>101</v>
      </c>
    </row>
    <row r="83" spans="1:12" ht="19.5" customHeight="1">
      <c r="A83" s="16" t="s">
        <v>277</v>
      </c>
      <c r="B83" s="9" t="s">
        <v>278</v>
      </c>
      <c r="C83" s="9" t="s">
        <v>187</v>
      </c>
      <c r="D83" s="2" t="s">
        <v>102</v>
      </c>
      <c r="E83" s="2">
        <v>95</v>
      </c>
      <c r="F83" s="2">
        <v>46</v>
      </c>
      <c r="G83" s="2">
        <v>80</v>
      </c>
      <c r="H83" s="58">
        <v>46434</v>
      </c>
      <c r="I83" s="9" t="s">
        <v>122</v>
      </c>
      <c r="J83" s="2">
        <v>20</v>
      </c>
      <c r="K83" s="2" t="s">
        <v>100</v>
      </c>
      <c r="L83" s="18" t="s">
        <v>101</v>
      </c>
    </row>
    <row r="84" spans="1:12" ht="19.5" customHeight="1">
      <c r="A84" s="15" t="s">
        <v>279</v>
      </c>
      <c r="B84" s="8" t="s">
        <v>280</v>
      </c>
      <c r="C84" s="8" t="s">
        <v>187</v>
      </c>
      <c r="D84" s="5" t="s">
        <v>102</v>
      </c>
      <c r="E84" s="5">
        <v>85</v>
      </c>
      <c r="F84" s="5">
        <v>41</v>
      </c>
      <c r="G84" s="5">
        <v>100</v>
      </c>
      <c r="H84" s="57">
        <v>46297</v>
      </c>
      <c r="I84" s="8" t="s">
        <v>122</v>
      </c>
      <c r="J84" s="5">
        <v>30</v>
      </c>
      <c r="K84" s="5" t="s">
        <v>100</v>
      </c>
      <c r="L84" s="17" t="s">
        <v>101</v>
      </c>
    </row>
    <row r="85" spans="1:12" ht="19.5" customHeight="1">
      <c r="A85" s="16" t="s">
        <v>281</v>
      </c>
      <c r="B85" s="9" t="s">
        <v>282</v>
      </c>
      <c r="C85" s="9" t="s">
        <v>187</v>
      </c>
      <c r="D85" s="2" t="s">
        <v>102</v>
      </c>
      <c r="E85" s="2">
        <v>65</v>
      </c>
      <c r="F85" s="2">
        <v>31</v>
      </c>
      <c r="G85" s="2">
        <v>120</v>
      </c>
      <c r="H85" s="58">
        <v>46285</v>
      </c>
      <c r="I85" s="9" t="s">
        <v>116</v>
      </c>
      <c r="J85" s="2">
        <v>10</v>
      </c>
      <c r="K85" s="2" t="s">
        <v>100</v>
      </c>
      <c r="L85" s="18" t="s">
        <v>101</v>
      </c>
    </row>
    <row r="86" spans="1:12" ht="19.5" customHeight="1">
      <c r="A86" s="15" t="s">
        <v>283</v>
      </c>
      <c r="B86" s="8" t="s">
        <v>284</v>
      </c>
      <c r="C86" s="8" t="s">
        <v>198</v>
      </c>
      <c r="D86" s="5" t="s">
        <v>199</v>
      </c>
      <c r="E86" s="5">
        <v>65</v>
      </c>
      <c r="F86" s="5">
        <v>31</v>
      </c>
      <c r="G86" s="5">
        <v>80</v>
      </c>
      <c r="H86" s="57">
        <v>46137</v>
      </c>
      <c r="I86" s="8" t="s">
        <v>141</v>
      </c>
      <c r="J86" s="5">
        <v>10</v>
      </c>
      <c r="K86" s="5" t="s">
        <v>100</v>
      </c>
      <c r="L86" s="17" t="s">
        <v>101</v>
      </c>
    </row>
    <row r="87" spans="1:12" ht="19.5" customHeight="1">
      <c r="A87" s="16" t="s">
        <v>285</v>
      </c>
      <c r="B87" s="9" t="s">
        <v>286</v>
      </c>
      <c r="C87" s="9" t="s">
        <v>198</v>
      </c>
      <c r="D87" s="2" t="s">
        <v>199</v>
      </c>
      <c r="E87" s="2">
        <v>125</v>
      </c>
      <c r="F87" s="2">
        <v>61</v>
      </c>
      <c r="G87" s="2">
        <v>50</v>
      </c>
      <c r="H87" s="58">
        <v>46126</v>
      </c>
      <c r="I87" s="9" t="s">
        <v>141</v>
      </c>
      <c r="J87" s="2">
        <v>14</v>
      </c>
      <c r="K87" s="2" t="s">
        <v>100</v>
      </c>
      <c r="L87" s="18" t="s">
        <v>101</v>
      </c>
    </row>
    <row r="88" spans="1:12" ht="19.5" customHeight="1">
      <c r="A88" s="15" t="s">
        <v>287</v>
      </c>
      <c r="B88" s="8" t="s">
        <v>288</v>
      </c>
      <c r="C88" s="8" t="s">
        <v>211</v>
      </c>
      <c r="D88" s="5" t="s">
        <v>212</v>
      </c>
      <c r="E88" s="5">
        <v>125</v>
      </c>
      <c r="F88" s="5">
        <v>61</v>
      </c>
      <c r="G88" s="5">
        <v>60</v>
      </c>
      <c r="H88" s="57">
        <v>46097</v>
      </c>
      <c r="I88" s="8" t="s">
        <v>119</v>
      </c>
      <c r="J88" s="5">
        <v>10</v>
      </c>
      <c r="K88" s="5" t="s">
        <v>100</v>
      </c>
      <c r="L88" s="17" t="s">
        <v>101</v>
      </c>
    </row>
    <row r="89" spans="1:12" ht="19.5" customHeight="1">
      <c r="A89" s="16" t="s">
        <v>289</v>
      </c>
      <c r="B89" s="9" t="s">
        <v>290</v>
      </c>
      <c r="C89" s="9" t="s">
        <v>211</v>
      </c>
      <c r="D89" s="2" t="s">
        <v>212</v>
      </c>
      <c r="E89" s="2">
        <v>145</v>
      </c>
      <c r="F89" s="2">
        <v>70</v>
      </c>
      <c r="G89" s="2">
        <v>50</v>
      </c>
      <c r="H89" s="58">
        <v>46226</v>
      </c>
      <c r="I89" s="9" t="s">
        <v>128</v>
      </c>
      <c r="J89" s="2">
        <v>10</v>
      </c>
      <c r="K89" s="2" t="s">
        <v>100</v>
      </c>
      <c r="L89" s="18" t="s">
        <v>101</v>
      </c>
    </row>
    <row r="90" spans="1:12" ht="19.5" customHeight="1">
      <c r="A90" s="15" t="s">
        <v>291</v>
      </c>
      <c r="B90" s="8" t="s">
        <v>30</v>
      </c>
      <c r="C90" s="8" t="s">
        <v>211</v>
      </c>
      <c r="D90" s="5" t="s">
        <v>292</v>
      </c>
      <c r="E90" s="5">
        <v>285</v>
      </c>
      <c r="F90" s="5">
        <v>140</v>
      </c>
      <c r="G90" s="5">
        <v>20</v>
      </c>
      <c r="H90" s="57">
        <v>46350</v>
      </c>
      <c r="I90" s="8" t="s">
        <v>122</v>
      </c>
      <c r="J90" s="5">
        <v>10</v>
      </c>
      <c r="K90" s="5" t="s">
        <v>100</v>
      </c>
      <c r="L90" s="17" t="s">
        <v>101</v>
      </c>
    </row>
    <row r="91" spans="1:12" ht="19.5" customHeight="1">
      <c r="A91" s="16" t="s">
        <v>293</v>
      </c>
      <c r="B91" s="9" t="s">
        <v>294</v>
      </c>
      <c r="C91" s="9" t="s">
        <v>224</v>
      </c>
      <c r="D91" s="2" t="s">
        <v>208</v>
      </c>
      <c r="E91" s="2">
        <v>165</v>
      </c>
      <c r="F91" s="2">
        <v>80</v>
      </c>
      <c r="G91" s="2">
        <v>50</v>
      </c>
      <c r="H91" s="58">
        <v>46129</v>
      </c>
      <c r="I91" s="9" t="s">
        <v>119</v>
      </c>
      <c r="J91" s="2">
        <v>20</v>
      </c>
      <c r="K91" s="2" t="s">
        <v>100</v>
      </c>
      <c r="L91" s="18" t="s">
        <v>101</v>
      </c>
    </row>
    <row r="92" spans="1:12" ht="19.5" customHeight="1">
      <c r="A92" s="15" t="s">
        <v>295</v>
      </c>
      <c r="B92" s="8" t="s">
        <v>296</v>
      </c>
      <c r="C92" s="8" t="s">
        <v>224</v>
      </c>
      <c r="D92" s="5" t="s">
        <v>228</v>
      </c>
      <c r="E92" s="5">
        <v>195</v>
      </c>
      <c r="F92" s="5">
        <v>95</v>
      </c>
      <c r="G92" s="5">
        <v>40</v>
      </c>
      <c r="H92" s="57">
        <v>46441</v>
      </c>
      <c r="I92" s="8" t="s">
        <v>122</v>
      </c>
      <c r="J92" s="5">
        <v>10</v>
      </c>
      <c r="K92" s="5" t="s">
        <v>100</v>
      </c>
      <c r="L92" s="17" t="s">
        <v>101</v>
      </c>
    </row>
    <row r="93" spans="1:12" ht="19.5" customHeight="1">
      <c r="A93" s="16" t="s">
        <v>297</v>
      </c>
      <c r="B93" s="9" t="s">
        <v>298</v>
      </c>
      <c r="C93" s="9" t="s">
        <v>224</v>
      </c>
      <c r="D93" s="2" t="s">
        <v>208</v>
      </c>
      <c r="E93" s="2">
        <v>125</v>
      </c>
      <c r="F93" s="2">
        <v>61</v>
      </c>
      <c r="G93" s="2">
        <v>60</v>
      </c>
      <c r="H93" s="58">
        <v>46189</v>
      </c>
      <c r="I93" s="9" t="s">
        <v>105</v>
      </c>
      <c r="J93" s="2">
        <v>20</v>
      </c>
      <c r="K93" s="2" t="s">
        <v>100</v>
      </c>
      <c r="L93" s="18" t="s">
        <v>101</v>
      </c>
    </row>
    <row r="94" spans="1:12" ht="19.5" customHeight="1">
      <c r="A94" s="15" t="s">
        <v>299</v>
      </c>
      <c r="B94" s="8" t="s">
        <v>300</v>
      </c>
      <c r="C94" s="8" t="s">
        <v>224</v>
      </c>
      <c r="D94" s="5" t="s">
        <v>228</v>
      </c>
      <c r="E94" s="5">
        <v>185</v>
      </c>
      <c r="F94" s="5">
        <v>90</v>
      </c>
      <c r="G94" s="5">
        <v>40</v>
      </c>
      <c r="H94" s="57">
        <v>46470</v>
      </c>
      <c r="I94" s="8" t="s">
        <v>103</v>
      </c>
      <c r="J94" s="5">
        <v>20</v>
      </c>
      <c r="K94" s="5" t="s">
        <v>100</v>
      </c>
      <c r="L94" s="17" t="s">
        <v>101</v>
      </c>
    </row>
    <row r="95" spans="1:12" ht="19.5" customHeight="1">
      <c r="A95" s="16" t="s">
        <v>301</v>
      </c>
      <c r="B95" s="9" t="s">
        <v>302</v>
      </c>
      <c r="C95" s="9" t="s">
        <v>224</v>
      </c>
      <c r="D95" s="2" t="s">
        <v>228</v>
      </c>
      <c r="E95" s="2">
        <v>145</v>
      </c>
      <c r="F95" s="2">
        <v>70</v>
      </c>
      <c r="G95" s="2">
        <v>60</v>
      </c>
      <c r="H95" s="58">
        <v>46492</v>
      </c>
      <c r="I95" s="9" t="s">
        <v>105</v>
      </c>
      <c r="J95" s="2">
        <v>30</v>
      </c>
      <c r="K95" s="2" t="s">
        <v>100</v>
      </c>
      <c r="L95" s="18" t="s">
        <v>101</v>
      </c>
    </row>
    <row r="96" spans="1:12" ht="19.5" customHeight="1">
      <c r="A96" s="15" t="s">
        <v>303</v>
      </c>
      <c r="B96" s="8" t="s">
        <v>304</v>
      </c>
      <c r="C96" s="8" t="s">
        <v>224</v>
      </c>
      <c r="D96" s="5" t="s">
        <v>228</v>
      </c>
      <c r="E96" s="5">
        <v>155</v>
      </c>
      <c r="F96" s="5">
        <v>75</v>
      </c>
      <c r="G96" s="5">
        <v>50</v>
      </c>
      <c r="H96" s="57">
        <v>46162</v>
      </c>
      <c r="I96" s="8" t="s">
        <v>111</v>
      </c>
      <c r="J96" s="5">
        <v>14</v>
      </c>
      <c r="K96" s="5" t="s">
        <v>100</v>
      </c>
      <c r="L96" s="17" t="s">
        <v>101</v>
      </c>
    </row>
    <row r="97" spans="1:12" ht="19.5" customHeight="1">
      <c r="A97" s="22" t="s">
        <v>305</v>
      </c>
      <c r="B97" s="23" t="s">
        <v>306</v>
      </c>
      <c r="C97" s="23" t="s">
        <v>224</v>
      </c>
      <c r="D97" s="24" t="s">
        <v>208</v>
      </c>
      <c r="E97" s="24">
        <v>425</v>
      </c>
      <c r="F97" s="24">
        <v>210</v>
      </c>
      <c r="G97" s="24">
        <v>25</v>
      </c>
      <c r="H97" s="59">
        <v>46564</v>
      </c>
      <c r="I97" s="23" t="s">
        <v>128</v>
      </c>
      <c r="J97" s="24">
        <v>30</v>
      </c>
      <c r="K97" s="24" t="s">
        <v>100</v>
      </c>
      <c r="L97" s="26" t="s">
        <v>101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223"/>
  <sheetViews>
    <sheetView showGridLines="0" zoomScaleNormal="100" workbookViewId="0">
      <pane ySplit="1" topLeftCell="A2" activePane="bottomLeft" state="frozen"/>
      <selection pane="bottomLeft" activeCell="N5" sqref="N5"/>
    </sheetView>
  </sheetViews>
  <sheetFormatPr defaultColWidth="8.7109375" defaultRowHeight="15"/>
  <cols>
    <col min="1" max="1" width="14.42578125" style="1" customWidth="1"/>
    <col min="2" max="2" width="12" style="65" customWidth="1"/>
    <col min="3" max="3" width="9.7109375" style="1" customWidth="1"/>
    <col min="4" max="4" width="28" style="1" customWidth="1"/>
    <col min="5" max="5" width="22" style="1" customWidth="1"/>
    <col min="6" max="6" width="10.7109375" style="1" customWidth="1"/>
    <col min="7" max="7" width="17.85546875" style="1" customWidth="1"/>
    <col min="8" max="8" width="17.7109375" style="1" customWidth="1"/>
    <col min="9" max="9" width="13" style="1" customWidth="1"/>
    <col min="10" max="10" width="11.85546875" style="1" customWidth="1"/>
    <col min="11" max="11" width="25.85546875" style="60" customWidth="1"/>
    <col min="12" max="12" width="17.5703125" style="1" customWidth="1"/>
  </cols>
  <sheetData>
    <row r="1" spans="1:12" ht="34.5" customHeight="1">
      <c r="A1" s="19" t="s">
        <v>80</v>
      </c>
      <c r="B1" s="61" t="s">
        <v>81</v>
      </c>
      <c r="C1" s="20" t="s">
        <v>55</v>
      </c>
      <c r="D1" s="20" t="s">
        <v>28</v>
      </c>
      <c r="E1" s="20" t="s">
        <v>82</v>
      </c>
      <c r="F1" s="20" t="s">
        <v>83</v>
      </c>
      <c r="G1" s="20" t="s">
        <v>59</v>
      </c>
      <c r="H1" s="20" t="s">
        <v>84</v>
      </c>
      <c r="I1" s="20" t="s">
        <v>85</v>
      </c>
      <c r="J1" s="20" t="s">
        <v>86</v>
      </c>
      <c r="K1" s="56" t="s">
        <v>61</v>
      </c>
      <c r="L1" s="21" t="s">
        <v>87</v>
      </c>
    </row>
    <row r="2" spans="1:12" ht="19.5" customHeight="1">
      <c r="A2" s="15" t="s">
        <v>307</v>
      </c>
      <c r="B2" s="62">
        <v>46079</v>
      </c>
      <c r="C2" s="5" t="s">
        <v>277</v>
      </c>
      <c r="D2" s="8" t="s">
        <v>278</v>
      </c>
      <c r="E2" s="8" t="s">
        <v>308</v>
      </c>
      <c r="F2" s="5">
        <v>107</v>
      </c>
      <c r="G2" s="7">
        <v>46</v>
      </c>
      <c r="H2" s="7">
        <f>F2*G2</f>
        <v>4922</v>
      </c>
      <c r="I2" s="5" t="s">
        <v>309</v>
      </c>
      <c r="J2" s="5" t="s">
        <v>310</v>
      </c>
      <c r="K2" s="57">
        <v>46434</v>
      </c>
      <c r="L2" s="17" t="s">
        <v>311</v>
      </c>
    </row>
    <row r="3" spans="1:12" ht="19.5" customHeight="1">
      <c r="A3" s="16" t="s">
        <v>312</v>
      </c>
      <c r="B3" s="63">
        <v>45912</v>
      </c>
      <c r="C3" s="2" t="s">
        <v>303</v>
      </c>
      <c r="D3" s="9" t="s">
        <v>304</v>
      </c>
      <c r="E3" s="9" t="s">
        <v>313</v>
      </c>
      <c r="F3" s="2">
        <v>102</v>
      </c>
      <c r="G3" s="4">
        <v>75</v>
      </c>
      <c r="H3" s="4">
        <f>F3*G3</f>
        <v>7650</v>
      </c>
      <c r="I3" s="2" t="s">
        <v>314</v>
      </c>
      <c r="J3" s="2" t="s">
        <v>315</v>
      </c>
      <c r="K3" s="58">
        <v>46162</v>
      </c>
      <c r="L3" s="18" t="s">
        <v>316</v>
      </c>
    </row>
    <row r="4" spans="1:12" ht="19.5" customHeight="1">
      <c r="A4" s="15" t="s">
        <v>317</v>
      </c>
      <c r="B4" s="62">
        <v>46062</v>
      </c>
      <c r="C4" s="5" t="s">
        <v>107</v>
      </c>
      <c r="D4" s="8" t="s">
        <v>108</v>
      </c>
      <c r="E4" s="8" t="s">
        <v>318</v>
      </c>
      <c r="F4" s="5">
        <v>65</v>
      </c>
      <c r="G4" s="7">
        <v>17</v>
      </c>
      <c r="H4" s="7">
        <f>F4*G4</f>
        <v>1105</v>
      </c>
      <c r="I4" s="5" t="s">
        <v>319</v>
      </c>
      <c r="J4" s="5" t="s">
        <v>320</v>
      </c>
      <c r="K4" s="57">
        <v>46278</v>
      </c>
      <c r="L4" s="17" t="s">
        <v>311</v>
      </c>
    </row>
    <row r="5" spans="1:12" ht="19.5" customHeight="1">
      <c r="A5" s="16" t="s">
        <v>321</v>
      </c>
      <c r="B5" s="63">
        <v>45919</v>
      </c>
      <c r="C5" s="2" t="s">
        <v>258</v>
      </c>
      <c r="D5" s="9" t="s">
        <v>259</v>
      </c>
      <c r="E5" s="9" t="s">
        <v>313</v>
      </c>
      <c r="F5" s="2">
        <v>151</v>
      </c>
      <c r="G5" s="4">
        <v>31</v>
      </c>
      <c r="H5" s="4">
        <f>F5*G5</f>
        <v>4681</v>
      </c>
      <c r="I5" s="2" t="s">
        <v>322</v>
      </c>
      <c r="J5" s="2" t="s">
        <v>323</v>
      </c>
      <c r="K5" s="58">
        <v>46378</v>
      </c>
      <c r="L5" s="18" t="s">
        <v>316</v>
      </c>
    </row>
    <row r="6" spans="1:12" ht="19.5" customHeight="1">
      <c r="A6" s="15" t="s">
        <v>324</v>
      </c>
      <c r="B6" s="62">
        <v>46084</v>
      </c>
      <c r="C6" s="5" t="s">
        <v>265</v>
      </c>
      <c r="D6" s="8" t="s">
        <v>266</v>
      </c>
      <c r="E6" s="8" t="s">
        <v>325</v>
      </c>
      <c r="F6" s="5">
        <v>192</v>
      </c>
      <c r="G6" s="7">
        <v>61</v>
      </c>
      <c r="H6" s="7">
        <f>F6*G6</f>
        <v>11712</v>
      </c>
      <c r="I6" s="5" t="s">
        <v>326</v>
      </c>
      <c r="J6" s="5" t="s">
        <v>327</v>
      </c>
      <c r="K6" s="57">
        <v>46403</v>
      </c>
      <c r="L6" s="17" t="s">
        <v>311</v>
      </c>
    </row>
    <row r="7" spans="1:12" ht="19.5" customHeight="1">
      <c r="A7" s="16" t="s">
        <v>328</v>
      </c>
      <c r="B7" s="63">
        <v>45999</v>
      </c>
      <c r="C7" s="2" t="s">
        <v>144</v>
      </c>
      <c r="D7" s="9" t="s">
        <v>38</v>
      </c>
      <c r="E7" s="9" t="s">
        <v>329</v>
      </c>
      <c r="F7" s="2">
        <v>160</v>
      </c>
      <c r="G7" s="4">
        <v>16</v>
      </c>
      <c r="H7" s="4">
        <f>F7*G7</f>
        <v>2560</v>
      </c>
      <c r="I7" s="2" t="s">
        <v>330</v>
      </c>
      <c r="J7" s="2" t="s">
        <v>331</v>
      </c>
      <c r="K7" s="58">
        <v>46060</v>
      </c>
      <c r="L7" s="18" t="s">
        <v>311</v>
      </c>
    </row>
    <row r="8" spans="1:12" ht="19.5" customHeight="1">
      <c r="A8" s="15" t="s">
        <v>332</v>
      </c>
      <c r="B8" s="62">
        <v>45997</v>
      </c>
      <c r="C8" s="5" t="s">
        <v>202</v>
      </c>
      <c r="D8" s="8" t="s">
        <v>203</v>
      </c>
      <c r="E8" s="8" t="s">
        <v>333</v>
      </c>
      <c r="F8" s="5">
        <v>483</v>
      </c>
      <c r="G8" s="7">
        <v>70</v>
      </c>
      <c r="H8" s="7">
        <f>F8*G8</f>
        <v>33810</v>
      </c>
      <c r="I8" s="5" t="s">
        <v>334</v>
      </c>
      <c r="J8" s="5" t="s">
        <v>335</v>
      </c>
      <c r="K8" s="57">
        <v>46471</v>
      </c>
      <c r="L8" s="17" t="s">
        <v>311</v>
      </c>
    </row>
    <row r="9" spans="1:12" ht="19.5" customHeight="1">
      <c r="A9" s="16" t="s">
        <v>336</v>
      </c>
      <c r="B9" s="63">
        <v>45948</v>
      </c>
      <c r="C9" s="2" t="s">
        <v>301</v>
      </c>
      <c r="D9" s="9" t="s">
        <v>302</v>
      </c>
      <c r="E9" s="9" t="s">
        <v>329</v>
      </c>
      <c r="F9" s="2">
        <v>285</v>
      </c>
      <c r="G9" s="4">
        <v>70</v>
      </c>
      <c r="H9" s="4">
        <f>F9*G9</f>
        <v>19950</v>
      </c>
      <c r="I9" s="2" t="s">
        <v>337</v>
      </c>
      <c r="J9" s="2" t="s">
        <v>338</v>
      </c>
      <c r="K9" s="58">
        <v>46492</v>
      </c>
      <c r="L9" s="18" t="s">
        <v>311</v>
      </c>
    </row>
    <row r="10" spans="1:12" ht="19.5" customHeight="1">
      <c r="A10" s="15" t="s">
        <v>339</v>
      </c>
      <c r="B10" s="62">
        <v>45993</v>
      </c>
      <c r="C10" s="5" t="s">
        <v>275</v>
      </c>
      <c r="D10" s="8" t="s">
        <v>276</v>
      </c>
      <c r="E10" s="8" t="s">
        <v>333</v>
      </c>
      <c r="F10" s="5">
        <v>366</v>
      </c>
      <c r="G10" s="7">
        <v>17</v>
      </c>
      <c r="H10" s="7">
        <f>F10*G10</f>
        <v>6222</v>
      </c>
      <c r="I10" s="5" t="s">
        <v>340</v>
      </c>
      <c r="J10" s="5" t="s">
        <v>341</v>
      </c>
      <c r="K10" s="57">
        <v>46572</v>
      </c>
      <c r="L10" s="17" t="s">
        <v>311</v>
      </c>
    </row>
    <row r="11" spans="1:12" ht="19.5" customHeight="1">
      <c r="A11" s="16" t="s">
        <v>342</v>
      </c>
      <c r="B11" s="63">
        <v>46027</v>
      </c>
      <c r="C11" s="2" t="s">
        <v>109</v>
      </c>
      <c r="D11" s="9" t="s">
        <v>110</v>
      </c>
      <c r="E11" s="9" t="s">
        <v>308</v>
      </c>
      <c r="F11" s="2">
        <v>388</v>
      </c>
      <c r="G11" s="4">
        <v>58</v>
      </c>
      <c r="H11" s="4">
        <f>F11*G11</f>
        <v>22504</v>
      </c>
      <c r="I11" s="2" t="s">
        <v>343</v>
      </c>
      <c r="J11" s="2" t="s">
        <v>344</v>
      </c>
      <c r="K11" s="58">
        <v>46117</v>
      </c>
      <c r="L11" s="18" t="s">
        <v>311</v>
      </c>
    </row>
    <row r="12" spans="1:12" ht="19.5" customHeight="1">
      <c r="A12" s="15" t="s">
        <v>345</v>
      </c>
      <c r="B12" s="62">
        <v>46014</v>
      </c>
      <c r="C12" s="5" t="s">
        <v>129</v>
      </c>
      <c r="D12" s="8" t="s">
        <v>130</v>
      </c>
      <c r="E12" s="8" t="s">
        <v>346</v>
      </c>
      <c r="F12" s="5">
        <v>244</v>
      </c>
      <c r="G12" s="7">
        <v>26</v>
      </c>
      <c r="H12" s="7">
        <f>F12*G12</f>
        <v>6344</v>
      </c>
      <c r="I12" s="5" t="s">
        <v>347</v>
      </c>
      <c r="J12" s="5" t="s">
        <v>348</v>
      </c>
      <c r="K12" s="57">
        <v>46304</v>
      </c>
      <c r="L12" s="17" t="s">
        <v>311</v>
      </c>
    </row>
    <row r="13" spans="1:12" ht="19.5" customHeight="1">
      <c r="A13" s="16" t="s">
        <v>349</v>
      </c>
      <c r="B13" s="63">
        <v>45995</v>
      </c>
      <c r="C13" s="2" t="s">
        <v>146</v>
      </c>
      <c r="D13" s="9" t="s">
        <v>147</v>
      </c>
      <c r="E13" s="9" t="s">
        <v>318</v>
      </c>
      <c r="F13" s="2">
        <v>239</v>
      </c>
      <c r="G13" s="4">
        <v>31</v>
      </c>
      <c r="H13" s="4">
        <f>F13*G13</f>
        <v>7409</v>
      </c>
      <c r="I13" s="2" t="s">
        <v>350</v>
      </c>
      <c r="J13" s="2" t="s">
        <v>351</v>
      </c>
      <c r="K13" s="58">
        <v>46691</v>
      </c>
      <c r="L13" s="18" t="s">
        <v>311</v>
      </c>
    </row>
    <row r="14" spans="1:12" ht="19.5" customHeight="1">
      <c r="A14" s="15" t="s">
        <v>352</v>
      </c>
      <c r="B14" s="62">
        <v>46042</v>
      </c>
      <c r="C14" s="5" t="s">
        <v>269</v>
      </c>
      <c r="D14" s="8" t="s">
        <v>270</v>
      </c>
      <c r="E14" s="8" t="s">
        <v>313</v>
      </c>
      <c r="F14" s="5">
        <v>375</v>
      </c>
      <c r="G14" s="7">
        <v>190</v>
      </c>
      <c r="H14" s="7">
        <f>F14*G14</f>
        <v>71250</v>
      </c>
      <c r="I14" s="5" t="s">
        <v>353</v>
      </c>
      <c r="J14" s="5" t="s">
        <v>354</v>
      </c>
      <c r="K14" s="57">
        <v>46287</v>
      </c>
      <c r="L14" s="17" t="s">
        <v>316</v>
      </c>
    </row>
    <row r="15" spans="1:12" ht="19.5" customHeight="1">
      <c r="A15" s="16" t="s">
        <v>355</v>
      </c>
      <c r="B15" s="63">
        <v>45922</v>
      </c>
      <c r="C15" s="2" t="s">
        <v>209</v>
      </c>
      <c r="D15" s="9" t="s">
        <v>210</v>
      </c>
      <c r="E15" s="9" t="s">
        <v>313</v>
      </c>
      <c r="F15" s="2">
        <v>188</v>
      </c>
      <c r="G15" s="4">
        <v>46</v>
      </c>
      <c r="H15" s="4">
        <f>F15*G15</f>
        <v>8648</v>
      </c>
      <c r="I15" s="2" t="s">
        <v>356</v>
      </c>
      <c r="J15" s="2" t="s">
        <v>357</v>
      </c>
      <c r="K15" s="58">
        <v>46107</v>
      </c>
      <c r="L15" s="18" t="s">
        <v>311</v>
      </c>
    </row>
    <row r="16" spans="1:12" ht="19.5" customHeight="1">
      <c r="A16" s="15" t="s">
        <v>358</v>
      </c>
      <c r="B16" s="62">
        <v>46071</v>
      </c>
      <c r="C16" s="5" t="s">
        <v>104</v>
      </c>
      <c r="D16" s="8" t="s">
        <v>34</v>
      </c>
      <c r="E16" s="8" t="s">
        <v>318</v>
      </c>
      <c r="F16" s="5">
        <v>447</v>
      </c>
      <c r="G16" s="7">
        <v>88</v>
      </c>
      <c r="H16" s="7">
        <f>F16*G16</f>
        <v>39336</v>
      </c>
      <c r="I16" s="5" t="s">
        <v>359</v>
      </c>
      <c r="J16" s="5" t="s">
        <v>360</v>
      </c>
      <c r="K16" s="57">
        <v>46726</v>
      </c>
      <c r="L16" s="17" t="s">
        <v>311</v>
      </c>
    </row>
    <row r="17" spans="1:12" ht="19.5" customHeight="1">
      <c r="A17" s="16" t="s">
        <v>361</v>
      </c>
      <c r="B17" s="63">
        <v>46069</v>
      </c>
      <c r="C17" s="2" t="s">
        <v>217</v>
      </c>
      <c r="D17" s="9" t="s">
        <v>35</v>
      </c>
      <c r="E17" s="9" t="s">
        <v>318</v>
      </c>
      <c r="F17" s="2">
        <v>187</v>
      </c>
      <c r="G17" s="4">
        <v>21</v>
      </c>
      <c r="H17" s="4">
        <f>F17*G17</f>
        <v>3927</v>
      </c>
      <c r="I17" s="2" t="s">
        <v>362</v>
      </c>
      <c r="J17" s="2" t="s">
        <v>363</v>
      </c>
      <c r="K17" s="58">
        <v>46091</v>
      </c>
      <c r="L17" s="18" t="s">
        <v>311</v>
      </c>
    </row>
    <row r="18" spans="1:12" ht="19.5" customHeight="1">
      <c r="A18" s="15" t="s">
        <v>364</v>
      </c>
      <c r="B18" s="62">
        <v>45958</v>
      </c>
      <c r="C18" s="5" t="s">
        <v>161</v>
      </c>
      <c r="D18" s="8" t="s">
        <v>162</v>
      </c>
      <c r="E18" s="8" t="s">
        <v>365</v>
      </c>
      <c r="F18" s="5">
        <v>385</v>
      </c>
      <c r="G18" s="7">
        <v>21</v>
      </c>
      <c r="H18" s="7">
        <f>F18*G18</f>
        <v>8085</v>
      </c>
      <c r="I18" s="5" t="s">
        <v>366</v>
      </c>
      <c r="J18" s="5" t="s">
        <v>367</v>
      </c>
      <c r="K18" s="57">
        <v>46130</v>
      </c>
      <c r="L18" s="17" t="s">
        <v>311</v>
      </c>
    </row>
    <row r="19" spans="1:12" ht="19.5" customHeight="1">
      <c r="A19" s="16" t="s">
        <v>368</v>
      </c>
      <c r="B19" s="63">
        <v>46022</v>
      </c>
      <c r="C19" s="2" t="s">
        <v>175</v>
      </c>
      <c r="D19" s="9" t="s">
        <v>176</v>
      </c>
      <c r="E19" s="9" t="s">
        <v>313</v>
      </c>
      <c r="F19" s="2">
        <v>121</v>
      </c>
      <c r="G19" s="4">
        <v>12</v>
      </c>
      <c r="H19" s="4">
        <f>F19*G19</f>
        <v>1452</v>
      </c>
      <c r="I19" s="2" t="s">
        <v>369</v>
      </c>
      <c r="J19" s="2" t="s">
        <v>370</v>
      </c>
      <c r="K19" s="58">
        <v>46121</v>
      </c>
      <c r="L19" s="18" t="s">
        <v>316</v>
      </c>
    </row>
    <row r="20" spans="1:12" ht="19.5" customHeight="1">
      <c r="A20" s="15" t="s">
        <v>371</v>
      </c>
      <c r="B20" s="62">
        <v>45993</v>
      </c>
      <c r="C20" s="5" t="s">
        <v>263</v>
      </c>
      <c r="D20" s="8" t="s">
        <v>264</v>
      </c>
      <c r="E20" s="8" t="s">
        <v>318</v>
      </c>
      <c r="F20" s="5">
        <v>254</v>
      </c>
      <c r="G20" s="7">
        <v>46</v>
      </c>
      <c r="H20" s="7">
        <f>F20*G20</f>
        <v>11684</v>
      </c>
      <c r="I20" s="5" t="s">
        <v>372</v>
      </c>
      <c r="J20" s="5" t="s">
        <v>373</v>
      </c>
      <c r="K20" s="57">
        <v>46284</v>
      </c>
      <c r="L20" s="17" t="s">
        <v>316</v>
      </c>
    </row>
    <row r="21" spans="1:12" ht="19.5" customHeight="1">
      <c r="A21" s="16" t="s">
        <v>374</v>
      </c>
      <c r="B21" s="63">
        <v>46073</v>
      </c>
      <c r="C21" s="2" t="s">
        <v>126</v>
      </c>
      <c r="D21" s="9" t="s">
        <v>127</v>
      </c>
      <c r="E21" s="9" t="s">
        <v>329</v>
      </c>
      <c r="F21" s="2">
        <v>436</v>
      </c>
      <c r="G21" s="4">
        <v>46</v>
      </c>
      <c r="H21" s="4">
        <f>F21*G21</f>
        <v>20056</v>
      </c>
      <c r="I21" s="2" t="s">
        <v>375</v>
      </c>
      <c r="J21" s="2" t="s">
        <v>376</v>
      </c>
      <c r="K21" s="58">
        <v>46776</v>
      </c>
      <c r="L21" s="18" t="s">
        <v>311</v>
      </c>
    </row>
    <row r="22" spans="1:12" ht="19.5" customHeight="1">
      <c r="A22" s="15" t="s">
        <v>377</v>
      </c>
      <c r="B22" s="62">
        <v>45933</v>
      </c>
      <c r="C22" s="5" t="s">
        <v>289</v>
      </c>
      <c r="D22" s="8" t="s">
        <v>290</v>
      </c>
      <c r="E22" s="8" t="s">
        <v>329</v>
      </c>
      <c r="F22" s="5">
        <v>266</v>
      </c>
      <c r="G22" s="7">
        <v>70</v>
      </c>
      <c r="H22" s="7">
        <f>F22*G22</f>
        <v>18620</v>
      </c>
      <c r="I22" s="5" t="s">
        <v>378</v>
      </c>
      <c r="J22" s="5" t="s">
        <v>379</v>
      </c>
      <c r="K22" s="57">
        <v>46226</v>
      </c>
      <c r="L22" s="17" t="s">
        <v>316</v>
      </c>
    </row>
    <row r="23" spans="1:12" ht="19.5" customHeight="1">
      <c r="A23" s="16" t="s">
        <v>380</v>
      </c>
      <c r="B23" s="63">
        <v>45944</v>
      </c>
      <c r="C23" s="2" t="s">
        <v>251</v>
      </c>
      <c r="D23" s="9" t="s">
        <v>36</v>
      </c>
      <c r="E23" s="9" t="s">
        <v>381</v>
      </c>
      <c r="F23" s="2">
        <v>178</v>
      </c>
      <c r="G23" s="4">
        <v>41</v>
      </c>
      <c r="H23" s="4">
        <f>F23*G23</f>
        <v>7298</v>
      </c>
      <c r="I23" s="2" t="s">
        <v>382</v>
      </c>
      <c r="J23" s="2" t="s">
        <v>383</v>
      </c>
      <c r="K23" s="58">
        <v>46188</v>
      </c>
      <c r="L23" s="18" t="s">
        <v>311</v>
      </c>
    </row>
    <row r="24" spans="1:12" ht="19.5" customHeight="1">
      <c r="A24" s="15" t="s">
        <v>384</v>
      </c>
      <c r="B24" s="62">
        <v>46017</v>
      </c>
      <c r="C24" s="5" t="s">
        <v>289</v>
      </c>
      <c r="D24" s="8" t="s">
        <v>290</v>
      </c>
      <c r="E24" s="8" t="s">
        <v>385</v>
      </c>
      <c r="F24" s="5">
        <v>324</v>
      </c>
      <c r="G24" s="7">
        <v>70</v>
      </c>
      <c r="H24" s="7">
        <f>F24*G24</f>
        <v>22680</v>
      </c>
      <c r="I24" s="5" t="s">
        <v>386</v>
      </c>
      <c r="J24" s="5" t="s">
        <v>387</v>
      </c>
      <c r="K24" s="57">
        <v>46226</v>
      </c>
      <c r="L24" s="17" t="s">
        <v>316</v>
      </c>
    </row>
    <row r="25" spans="1:12" ht="19.5" customHeight="1">
      <c r="A25" s="16" t="s">
        <v>388</v>
      </c>
      <c r="B25" s="63">
        <v>46085</v>
      </c>
      <c r="C25" s="2" t="s">
        <v>146</v>
      </c>
      <c r="D25" s="9" t="s">
        <v>147</v>
      </c>
      <c r="E25" s="9" t="s">
        <v>308</v>
      </c>
      <c r="F25" s="2">
        <v>282</v>
      </c>
      <c r="G25" s="4">
        <v>31</v>
      </c>
      <c r="H25" s="4">
        <f>F25*G25</f>
        <v>8742</v>
      </c>
      <c r="I25" s="2" t="s">
        <v>389</v>
      </c>
      <c r="J25" s="2" t="s">
        <v>390</v>
      </c>
      <c r="K25" s="58">
        <v>46691</v>
      </c>
      <c r="L25" s="18" t="s">
        <v>311</v>
      </c>
    </row>
    <row r="26" spans="1:12" ht="19.5" customHeight="1">
      <c r="A26" s="15" t="s">
        <v>391</v>
      </c>
      <c r="B26" s="62">
        <v>45925</v>
      </c>
      <c r="C26" s="5" t="s">
        <v>245</v>
      </c>
      <c r="D26" s="8" t="s">
        <v>246</v>
      </c>
      <c r="E26" s="8" t="s">
        <v>308</v>
      </c>
      <c r="F26" s="5">
        <v>104</v>
      </c>
      <c r="G26" s="7">
        <v>120</v>
      </c>
      <c r="H26" s="7">
        <f>F26*G26</f>
        <v>12480</v>
      </c>
      <c r="I26" s="5" t="s">
        <v>392</v>
      </c>
      <c r="J26" s="5" t="s">
        <v>393</v>
      </c>
      <c r="K26" s="57">
        <v>46601</v>
      </c>
      <c r="L26" s="17" t="s">
        <v>311</v>
      </c>
    </row>
    <row r="27" spans="1:12" ht="19.5" customHeight="1">
      <c r="A27" s="16" t="s">
        <v>394</v>
      </c>
      <c r="B27" s="63">
        <v>46044</v>
      </c>
      <c r="C27" s="2" t="s">
        <v>144</v>
      </c>
      <c r="D27" s="9" t="s">
        <v>38</v>
      </c>
      <c r="E27" s="9" t="s">
        <v>313</v>
      </c>
      <c r="F27" s="2">
        <v>241</v>
      </c>
      <c r="G27" s="4">
        <v>16</v>
      </c>
      <c r="H27" s="4">
        <f>F27*G27</f>
        <v>3856</v>
      </c>
      <c r="I27" s="2" t="s">
        <v>395</v>
      </c>
      <c r="J27" s="2" t="s">
        <v>396</v>
      </c>
      <c r="K27" s="58">
        <v>46060</v>
      </c>
      <c r="L27" s="18" t="s">
        <v>311</v>
      </c>
    </row>
    <row r="28" spans="1:12" ht="19.5" customHeight="1">
      <c r="A28" s="15" t="s">
        <v>397</v>
      </c>
      <c r="B28" s="62">
        <v>46057</v>
      </c>
      <c r="C28" s="5" t="s">
        <v>241</v>
      </c>
      <c r="D28" s="8" t="s">
        <v>242</v>
      </c>
      <c r="E28" s="8" t="s">
        <v>385</v>
      </c>
      <c r="F28" s="5">
        <v>59</v>
      </c>
      <c r="G28" s="7">
        <v>95</v>
      </c>
      <c r="H28" s="7">
        <f>F28*G28</f>
        <v>5605</v>
      </c>
      <c r="I28" s="5" t="s">
        <v>398</v>
      </c>
      <c r="J28" s="5" t="s">
        <v>399</v>
      </c>
      <c r="K28" s="57">
        <v>46716</v>
      </c>
      <c r="L28" s="17" t="s">
        <v>311</v>
      </c>
    </row>
    <row r="29" spans="1:12" ht="19.5" customHeight="1">
      <c r="A29" s="16" t="s">
        <v>400</v>
      </c>
      <c r="B29" s="63">
        <v>45940</v>
      </c>
      <c r="C29" s="2" t="s">
        <v>167</v>
      </c>
      <c r="D29" s="9" t="s">
        <v>168</v>
      </c>
      <c r="E29" s="9" t="s">
        <v>329</v>
      </c>
      <c r="F29" s="2">
        <v>499</v>
      </c>
      <c r="G29" s="4">
        <v>31</v>
      </c>
      <c r="H29" s="4">
        <f>F29*G29</f>
        <v>15469</v>
      </c>
      <c r="I29" s="2" t="s">
        <v>401</v>
      </c>
      <c r="J29" s="2" t="s">
        <v>402</v>
      </c>
      <c r="K29" s="58">
        <v>46140</v>
      </c>
      <c r="L29" s="18" t="s">
        <v>316</v>
      </c>
    </row>
    <row r="30" spans="1:12" ht="19.5" customHeight="1">
      <c r="A30" s="15" t="s">
        <v>403</v>
      </c>
      <c r="B30" s="62">
        <v>45949</v>
      </c>
      <c r="C30" s="5" t="s">
        <v>117</v>
      </c>
      <c r="D30" s="8" t="s">
        <v>118</v>
      </c>
      <c r="E30" s="8" t="s">
        <v>325</v>
      </c>
      <c r="F30" s="5">
        <v>439</v>
      </c>
      <c r="G30" s="7">
        <v>13</v>
      </c>
      <c r="H30" s="7">
        <f>F30*G30</f>
        <v>5707</v>
      </c>
      <c r="I30" s="5" t="s">
        <v>404</v>
      </c>
      <c r="J30" s="5" t="s">
        <v>405</v>
      </c>
      <c r="K30" s="57">
        <v>46063</v>
      </c>
      <c r="L30" s="17" t="s">
        <v>316</v>
      </c>
    </row>
    <row r="31" spans="1:12" ht="19.5" customHeight="1">
      <c r="A31" s="16" t="s">
        <v>406</v>
      </c>
      <c r="B31" s="63">
        <v>46018</v>
      </c>
      <c r="C31" s="2" t="s">
        <v>256</v>
      </c>
      <c r="D31" s="9" t="s">
        <v>257</v>
      </c>
      <c r="E31" s="9" t="s">
        <v>313</v>
      </c>
      <c r="F31" s="2">
        <v>134</v>
      </c>
      <c r="G31" s="4">
        <v>41</v>
      </c>
      <c r="H31" s="4">
        <f>F31*G31</f>
        <v>5494</v>
      </c>
      <c r="I31" s="2" t="s">
        <v>407</v>
      </c>
      <c r="J31" s="2" t="s">
        <v>408</v>
      </c>
      <c r="K31" s="58">
        <v>46675</v>
      </c>
      <c r="L31" s="18" t="s">
        <v>311</v>
      </c>
    </row>
    <row r="32" spans="1:12" ht="19.5" customHeight="1">
      <c r="A32" s="15" t="s">
        <v>409</v>
      </c>
      <c r="B32" s="62">
        <v>45909</v>
      </c>
      <c r="C32" s="5" t="s">
        <v>254</v>
      </c>
      <c r="D32" s="8" t="s">
        <v>255</v>
      </c>
      <c r="E32" s="8" t="s">
        <v>318</v>
      </c>
      <c r="F32" s="5">
        <v>436</v>
      </c>
      <c r="G32" s="7">
        <v>31</v>
      </c>
      <c r="H32" s="7">
        <f>F32*G32</f>
        <v>13516</v>
      </c>
      <c r="I32" s="5" t="s">
        <v>410</v>
      </c>
      <c r="J32" s="5" t="s">
        <v>411</v>
      </c>
      <c r="K32" s="57">
        <v>46080</v>
      </c>
      <c r="L32" s="17" t="s">
        <v>311</v>
      </c>
    </row>
    <row r="33" spans="1:12" ht="19.5" customHeight="1">
      <c r="A33" s="16" t="s">
        <v>412</v>
      </c>
      <c r="B33" s="63">
        <v>45970</v>
      </c>
      <c r="C33" s="2" t="s">
        <v>229</v>
      </c>
      <c r="D33" s="9" t="s">
        <v>230</v>
      </c>
      <c r="E33" s="9" t="s">
        <v>329</v>
      </c>
      <c r="F33" s="2">
        <v>314</v>
      </c>
      <c r="G33" s="4">
        <v>36</v>
      </c>
      <c r="H33" s="4">
        <f>F33*G33</f>
        <v>11304</v>
      </c>
      <c r="I33" s="2" t="s">
        <v>413</v>
      </c>
      <c r="J33" s="2" t="s">
        <v>414</v>
      </c>
      <c r="K33" s="58">
        <v>46065</v>
      </c>
      <c r="L33" s="18" t="s">
        <v>311</v>
      </c>
    </row>
    <row r="34" spans="1:12" ht="19.5" customHeight="1">
      <c r="A34" s="15" t="s">
        <v>415</v>
      </c>
      <c r="B34" s="62">
        <v>45935</v>
      </c>
      <c r="C34" s="5" t="s">
        <v>196</v>
      </c>
      <c r="D34" s="8" t="s">
        <v>197</v>
      </c>
      <c r="E34" s="8" t="s">
        <v>313</v>
      </c>
      <c r="F34" s="5">
        <v>60</v>
      </c>
      <c r="G34" s="7">
        <v>90</v>
      </c>
      <c r="H34" s="7">
        <f>F34*G34</f>
        <v>5400</v>
      </c>
      <c r="I34" s="5" t="s">
        <v>416</v>
      </c>
      <c r="J34" s="5" t="s">
        <v>417</v>
      </c>
      <c r="K34" s="57">
        <v>46489</v>
      </c>
      <c r="L34" s="17" t="s">
        <v>311</v>
      </c>
    </row>
    <row r="35" spans="1:12" ht="19.5" customHeight="1">
      <c r="A35" s="16" t="s">
        <v>418</v>
      </c>
      <c r="B35" s="63">
        <v>45924</v>
      </c>
      <c r="C35" s="2" t="s">
        <v>95</v>
      </c>
      <c r="D35" s="9" t="s">
        <v>96</v>
      </c>
      <c r="E35" s="9" t="s">
        <v>381</v>
      </c>
      <c r="F35" s="2">
        <v>86</v>
      </c>
      <c r="G35" s="4">
        <v>22</v>
      </c>
      <c r="H35" s="4">
        <f>F35*G35</f>
        <v>1892</v>
      </c>
      <c r="I35" s="2" t="s">
        <v>419</v>
      </c>
      <c r="J35" s="2" t="s">
        <v>420</v>
      </c>
      <c r="K35" s="58">
        <v>46090</v>
      </c>
      <c r="L35" s="18" t="s">
        <v>311</v>
      </c>
    </row>
    <row r="36" spans="1:12" ht="19.5" customHeight="1">
      <c r="A36" s="15" t="s">
        <v>421</v>
      </c>
      <c r="B36" s="62">
        <v>45954</v>
      </c>
      <c r="C36" s="5" t="s">
        <v>194</v>
      </c>
      <c r="D36" s="8" t="s">
        <v>195</v>
      </c>
      <c r="E36" s="8" t="s">
        <v>318</v>
      </c>
      <c r="F36" s="5">
        <v>86</v>
      </c>
      <c r="G36" s="7">
        <v>36</v>
      </c>
      <c r="H36" s="7">
        <f>F36*G36</f>
        <v>3096</v>
      </c>
      <c r="I36" s="5" t="s">
        <v>422</v>
      </c>
      <c r="J36" s="5" t="s">
        <v>423</v>
      </c>
      <c r="K36" s="57">
        <v>46597</v>
      </c>
      <c r="L36" s="17" t="s">
        <v>316</v>
      </c>
    </row>
    <row r="37" spans="1:12" ht="19.5" customHeight="1">
      <c r="A37" s="16" t="s">
        <v>424</v>
      </c>
      <c r="B37" s="63">
        <v>46052</v>
      </c>
      <c r="C37" s="2" t="s">
        <v>161</v>
      </c>
      <c r="D37" s="9" t="s">
        <v>162</v>
      </c>
      <c r="E37" s="9" t="s">
        <v>333</v>
      </c>
      <c r="F37" s="2">
        <v>326</v>
      </c>
      <c r="G37" s="4">
        <v>21</v>
      </c>
      <c r="H37" s="4">
        <f>F37*G37</f>
        <v>6846</v>
      </c>
      <c r="I37" s="2" t="s">
        <v>425</v>
      </c>
      <c r="J37" s="2" t="s">
        <v>426</v>
      </c>
      <c r="K37" s="58">
        <v>46130</v>
      </c>
      <c r="L37" s="18" t="s">
        <v>311</v>
      </c>
    </row>
    <row r="38" spans="1:12" ht="19.5" customHeight="1">
      <c r="A38" s="15" t="s">
        <v>427</v>
      </c>
      <c r="B38" s="62">
        <v>45981</v>
      </c>
      <c r="C38" s="5" t="s">
        <v>238</v>
      </c>
      <c r="D38" s="8" t="s">
        <v>239</v>
      </c>
      <c r="E38" s="8" t="s">
        <v>318</v>
      </c>
      <c r="F38" s="5">
        <v>463</v>
      </c>
      <c r="G38" s="7">
        <v>46</v>
      </c>
      <c r="H38" s="7">
        <f>F38*G38</f>
        <v>21298</v>
      </c>
      <c r="I38" s="5" t="s">
        <v>428</v>
      </c>
      <c r="J38" s="5" t="s">
        <v>429</v>
      </c>
      <c r="K38" s="57">
        <v>46314</v>
      </c>
      <c r="L38" s="17" t="s">
        <v>316</v>
      </c>
    </row>
    <row r="39" spans="1:12" ht="19.5" customHeight="1">
      <c r="A39" s="16" t="s">
        <v>430</v>
      </c>
      <c r="B39" s="63">
        <v>45980</v>
      </c>
      <c r="C39" s="2" t="s">
        <v>202</v>
      </c>
      <c r="D39" s="9" t="s">
        <v>203</v>
      </c>
      <c r="E39" s="9" t="s">
        <v>346</v>
      </c>
      <c r="F39" s="2">
        <v>266</v>
      </c>
      <c r="G39" s="4">
        <v>70</v>
      </c>
      <c r="H39" s="4">
        <f>F39*G39</f>
        <v>18620</v>
      </c>
      <c r="I39" s="2" t="s">
        <v>431</v>
      </c>
      <c r="J39" s="2" t="s">
        <v>432</v>
      </c>
      <c r="K39" s="58">
        <v>46471</v>
      </c>
      <c r="L39" s="18" t="s">
        <v>311</v>
      </c>
    </row>
    <row r="40" spans="1:12" ht="19.5" customHeight="1">
      <c r="A40" s="15" t="s">
        <v>433</v>
      </c>
      <c r="B40" s="62">
        <v>45999</v>
      </c>
      <c r="C40" s="5" t="s">
        <v>113</v>
      </c>
      <c r="D40" s="8" t="s">
        <v>114</v>
      </c>
      <c r="E40" s="8" t="s">
        <v>329</v>
      </c>
      <c r="F40" s="5">
        <v>256</v>
      </c>
      <c r="G40" s="7">
        <v>5</v>
      </c>
      <c r="H40" s="7">
        <f>F40*G40</f>
        <v>1280</v>
      </c>
      <c r="I40" s="5" t="s">
        <v>434</v>
      </c>
      <c r="J40" s="5" t="s">
        <v>435</v>
      </c>
      <c r="K40" s="57">
        <v>46130</v>
      </c>
      <c r="L40" s="17" t="s">
        <v>311</v>
      </c>
    </row>
    <row r="41" spans="1:12" ht="19.5" customHeight="1">
      <c r="A41" s="16" t="s">
        <v>436</v>
      </c>
      <c r="B41" s="63">
        <v>46050</v>
      </c>
      <c r="C41" s="2" t="s">
        <v>252</v>
      </c>
      <c r="D41" s="9" t="s">
        <v>253</v>
      </c>
      <c r="E41" s="9" t="s">
        <v>365</v>
      </c>
      <c r="F41" s="2">
        <v>279</v>
      </c>
      <c r="G41" s="4">
        <v>26</v>
      </c>
      <c r="H41" s="4">
        <f>F41*G41</f>
        <v>7254</v>
      </c>
      <c r="I41" s="2" t="s">
        <v>437</v>
      </c>
      <c r="J41" s="2" t="s">
        <v>438</v>
      </c>
      <c r="K41" s="58">
        <v>46589</v>
      </c>
      <c r="L41" s="18" t="s">
        <v>316</v>
      </c>
    </row>
    <row r="42" spans="1:12" ht="19.5" customHeight="1">
      <c r="A42" s="15" t="s">
        <v>439</v>
      </c>
      <c r="B42" s="62">
        <v>46066</v>
      </c>
      <c r="C42" s="5" t="s">
        <v>169</v>
      </c>
      <c r="D42" s="8" t="s">
        <v>170</v>
      </c>
      <c r="E42" s="8" t="s">
        <v>346</v>
      </c>
      <c r="F42" s="5">
        <v>497</v>
      </c>
      <c r="G42" s="7">
        <v>420</v>
      </c>
      <c r="H42" s="7">
        <f>F42*G42</f>
        <v>208740</v>
      </c>
      <c r="I42" s="5" t="s">
        <v>440</v>
      </c>
      <c r="J42" s="5" t="s">
        <v>441</v>
      </c>
      <c r="K42" s="57">
        <v>46600</v>
      </c>
      <c r="L42" s="17" t="s">
        <v>311</v>
      </c>
    </row>
    <row r="43" spans="1:12" ht="19.5" customHeight="1">
      <c r="A43" s="16" t="s">
        <v>442</v>
      </c>
      <c r="B43" s="63">
        <v>46082</v>
      </c>
      <c r="C43" s="2" t="s">
        <v>281</v>
      </c>
      <c r="D43" s="9" t="s">
        <v>282</v>
      </c>
      <c r="E43" s="9" t="s">
        <v>329</v>
      </c>
      <c r="F43" s="2">
        <v>326</v>
      </c>
      <c r="G43" s="4">
        <v>31</v>
      </c>
      <c r="H43" s="4">
        <f>F43*G43</f>
        <v>10106</v>
      </c>
      <c r="I43" s="2" t="s">
        <v>443</v>
      </c>
      <c r="J43" s="2" t="s">
        <v>444</v>
      </c>
      <c r="K43" s="58">
        <v>46285</v>
      </c>
      <c r="L43" s="18" t="s">
        <v>316</v>
      </c>
    </row>
    <row r="44" spans="1:12" ht="19.5" customHeight="1">
      <c r="A44" s="15" t="s">
        <v>445</v>
      </c>
      <c r="B44" s="62">
        <v>46031</v>
      </c>
      <c r="C44" s="5" t="s">
        <v>241</v>
      </c>
      <c r="D44" s="8" t="s">
        <v>242</v>
      </c>
      <c r="E44" s="8" t="s">
        <v>365</v>
      </c>
      <c r="F44" s="5">
        <v>296</v>
      </c>
      <c r="G44" s="7">
        <v>95</v>
      </c>
      <c r="H44" s="7">
        <f>F44*G44</f>
        <v>28120</v>
      </c>
      <c r="I44" s="5" t="s">
        <v>446</v>
      </c>
      <c r="J44" s="5" t="s">
        <v>447</v>
      </c>
      <c r="K44" s="57">
        <v>46716</v>
      </c>
      <c r="L44" s="17" t="s">
        <v>316</v>
      </c>
    </row>
    <row r="45" spans="1:12" ht="19.5" customHeight="1">
      <c r="A45" s="16" t="s">
        <v>448</v>
      </c>
      <c r="B45" s="63">
        <v>46018</v>
      </c>
      <c r="C45" s="2" t="s">
        <v>95</v>
      </c>
      <c r="D45" s="9" t="s">
        <v>96</v>
      </c>
      <c r="E45" s="9" t="s">
        <v>346</v>
      </c>
      <c r="F45" s="2">
        <v>249</v>
      </c>
      <c r="G45" s="4">
        <v>22</v>
      </c>
      <c r="H45" s="4">
        <f>F45*G45</f>
        <v>5478</v>
      </c>
      <c r="I45" s="2" t="s">
        <v>449</v>
      </c>
      <c r="J45" s="2" t="s">
        <v>408</v>
      </c>
      <c r="K45" s="58">
        <v>46090</v>
      </c>
      <c r="L45" s="18" t="s">
        <v>316</v>
      </c>
    </row>
    <row r="46" spans="1:12" ht="19.5" customHeight="1">
      <c r="A46" s="15" t="s">
        <v>450</v>
      </c>
      <c r="B46" s="62">
        <v>46010</v>
      </c>
      <c r="C46" s="5" t="s">
        <v>144</v>
      </c>
      <c r="D46" s="8" t="s">
        <v>38</v>
      </c>
      <c r="E46" s="8" t="s">
        <v>318</v>
      </c>
      <c r="F46" s="5">
        <v>147</v>
      </c>
      <c r="G46" s="7">
        <v>16</v>
      </c>
      <c r="H46" s="7">
        <f>F46*G46</f>
        <v>2352</v>
      </c>
      <c r="I46" s="5" t="s">
        <v>451</v>
      </c>
      <c r="J46" s="5" t="s">
        <v>452</v>
      </c>
      <c r="K46" s="57">
        <v>46060</v>
      </c>
      <c r="L46" s="17" t="s">
        <v>311</v>
      </c>
    </row>
    <row r="47" spans="1:12" ht="19.5" customHeight="1">
      <c r="A47" s="16" t="s">
        <v>453</v>
      </c>
      <c r="B47" s="63">
        <v>46071</v>
      </c>
      <c r="C47" s="2" t="s">
        <v>305</v>
      </c>
      <c r="D47" s="9" t="s">
        <v>306</v>
      </c>
      <c r="E47" s="9" t="s">
        <v>381</v>
      </c>
      <c r="F47" s="2">
        <v>210</v>
      </c>
      <c r="G47" s="4">
        <v>210</v>
      </c>
      <c r="H47" s="4">
        <f>F47*G47</f>
        <v>44100</v>
      </c>
      <c r="I47" s="2" t="s">
        <v>454</v>
      </c>
      <c r="J47" s="2" t="s">
        <v>455</v>
      </c>
      <c r="K47" s="58">
        <v>46564</v>
      </c>
      <c r="L47" s="18" t="s">
        <v>311</v>
      </c>
    </row>
    <row r="48" spans="1:12" ht="19.5" customHeight="1">
      <c r="A48" s="15" t="s">
        <v>456</v>
      </c>
      <c r="B48" s="62">
        <v>46065</v>
      </c>
      <c r="C48" s="5" t="s">
        <v>113</v>
      </c>
      <c r="D48" s="8" t="s">
        <v>114</v>
      </c>
      <c r="E48" s="8" t="s">
        <v>325</v>
      </c>
      <c r="F48" s="5">
        <v>310</v>
      </c>
      <c r="G48" s="7">
        <v>5</v>
      </c>
      <c r="H48" s="7">
        <f>F48*G48</f>
        <v>1550</v>
      </c>
      <c r="I48" s="5" t="s">
        <v>457</v>
      </c>
      <c r="J48" s="5" t="s">
        <v>458</v>
      </c>
      <c r="K48" s="57">
        <v>46130</v>
      </c>
      <c r="L48" s="17" t="s">
        <v>311</v>
      </c>
    </row>
    <row r="49" spans="1:12" ht="19.5" customHeight="1">
      <c r="A49" s="16" t="s">
        <v>459</v>
      </c>
      <c r="B49" s="63">
        <v>46025</v>
      </c>
      <c r="C49" s="2" t="s">
        <v>287</v>
      </c>
      <c r="D49" s="9" t="s">
        <v>288</v>
      </c>
      <c r="E49" s="9" t="s">
        <v>365</v>
      </c>
      <c r="F49" s="2">
        <v>491</v>
      </c>
      <c r="G49" s="4">
        <v>61</v>
      </c>
      <c r="H49" s="4">
        <f>F49*G49</f>
        <v>29951</v>
      </c>
      <c r="I49" s="2" t="s">
        <v>460</v>
      </c>
      <c r="J49" s="2" t="s">
        <v>461</v>
      </c>
      <c r="K49" s="58">
        <v>46097</v>
      </c>
      <c r="L49" s="18" t="s">
        <v>311</v>
      </c>
    </row>
    <row r="50" spans="1:12" ht="19.5" customHeight="1">
      <c r="A50" s="15" t="s">
        <v>462</v>
      </c>
      <c r="B50" s="62">
        <v>46075</v>
      </c>
      <c r="C50" s="5" t="s">
        <v>263</v>
      </c>
      <c r="D50" s="8" t="s">
        <v>264</v>
      </c>
      <c r="E50" s="8" t="s">
        <v>333</v>
      </c>
      <c r="F50" s="5">
        <v>354</v>
      </c>
      <c r="G50" s="7">
        <v>46</v>
      </c>
      <c r="H50" s="7">
        <f>F50*G50</f>
        <v>16284</v>
      </c>
      <c r="I50" s="5" t="s">
        <v>463</v>
      </c>
      <c r="J50" s="5" t="s">
        <v>464</v>
      </c>
      <c r="K50" s="57">
        <v>46284</v>
      </c>
      <c r="L50" s="17" t="s">
        <v>311</v>
      </c>
    </row>
    <row r="51" spans="1:12" ht="19.5" customHeight="1">
      <c r="A51" s="16" t="s">
        <v>465</v>
      </c>
      <c r="B51" s="63">
        <v>45914</v>
      </c>
      <c r="C51" s="2" t="s">
        <v>175</v>
      </c>
      <c r="D51" s="9" t="s">
        <v>176</v>
      </c>
      <c r="E51" s="9" t="s">
        <v>385</v>
      </c>
      <c r="F51" s="2">
        <v>154</v>
      </c>
      <c r="G51" s="4">
        <v>12</v>
      </c>
      <c r="H51" s="4">
        <f>F51*G51</f>
        <v>1848</v>
      </c>
      <c r="I51" s="2" t="s">
        <v>466</v>
      </c>
      <c r="J51" s="2" t="s">
        <v>467</v>
      </c>
      <c r="K51" s="58">
        <v>46121</v>
      </c>
      <c r="L51" s="18" t="s">
        <v>316</v>
      </c>
    </row>
    <row r="52" spans="1:12" ht="19.5" customHeight="1">
      <c r="A52" s="15" t="s">
        <v>468</v>
      </c>
      <c r="B52" s="62">
        <v>45920</v>
      </c>
      <c r="C52" s="5" t="s">
        <v>137</v>
      </c>
      <c r="D52" s="8" t="s">
        <v>138</v>
      </c>
      <c r="E52" s="8" t="s">
        <v>308</v>
      </c>
      <c r="F52" s="5">
        <v>393</v>
      </c>
      <c r="G52" s="7">
        <v>21</v>
      </c>
      <c r="H52" s="7">
        <f>F52*G52</f>
        <v>8253</v>
      </c>
      <c r="I52" s="5" t="s">
        <v>469</v>
      </c>
      <c r="J52" s="5" t="s">
        <v>470</v>
      </c>
      <c r="K52" s="57">
        <v>46542</v>
      </c>
      <c r="L52" s="17" t="s">
        <v>311</v>
      </c>
    </row>
    <row r="53" spans="1:12" ht="19.5" customHeight="1">
      <c r="A53" s="16" t="s">
        <v>471</v>
      </c>
      <c r="B53" s="63">
        <v>45926</v>
      </c>
      <c r="C53" s="2" t="s">
        <v>52</v>
      </c>
      <c r="D53" s="9" t="s">
        <v>39</v>
      </c>
      <c r="E53" s="9" t="s">
        <v>333</v>
      </c>
      <c r="F53" s="2">
        <v>284</v>
      </c>
      <c r="G53" s="4">
        <v>110</v>
      </c>
      <c r="H53" s="4">
        <f>F53*G53</f>
        <v>31240</v>
      </c>
      <c r="I53" s="2" t="s">
        <v>472</v>
      </c>
      <c r="J53" s="2" t="s">
        <v>473</v>
      </c>
      <c r="K53" s="58">
        <v>46386</v>
      </c>
      <c r="L53" s="18" t="s">
        <v>311</v>
      </c>
    </row>
    <row r="54" spans="1:12" ht="19.5" customHeight="1">
      <c r="A54" s="15" t="s">
        <v>474</v>
      </c>
      <c r="B54" s="62">
        <v>46052</v>
      </c>
      <c r="C54" s="5" t="s">
        <v>245</v>
      </c>
      <c r="D54" s="8" t="s">
        <v>246</v>
      </c>
      <c r="E54" s="8" t="s">
        <v>385</v>
      </c>
      <c r="F54" s="5">
        <v>185</v>
      </c>
      <c r="G54" s="7">
        <v>120</v>
      </c>
      <c r="H54" s="7">
        <f>F54*G54</f>
        <v>22200</v>
      </c>
      <c r="I54" s="5" t="s">
        <v>475</v>
      </c>
      <c r="J54" s="5" t="s">
        <v>476</v>
      </c>
      <c r="K54" s="57">
        <v>46601</v>
      </c>
      <c r="L54" s="17" t="s">
        <v>311</v>
      </c>
    </row>
    <row r="55" spans="1:12" ht="19.5" customHeight="1">
      <c r="A55" s="16" t="s">
        <v>477</v>
      </c>
      <c r="B55" s="63">
        <v>45973</v>
      </c>
      <c r="C55" s="2" t="s">
        <v>181</v>
      </c>
      <c r="D55" s="9" t="s">
        <v>182</v>
      </c>
      <c r="E55" s="9" t="s">
        <v>313</v>
      </c>
      <c r="F55" s="2">
        <v>130</v>
      </c>
      <c r="G55" s="4">
        <v>41</v>
      </c>
      <c r="H55" s="4">
        <f>F55*G55</f>
        <v>5330</v>
      </c>
      <c r="I55" s="2" t="s">
        <v>478</v>
      </c>
      <c r="J55" s="2" t="s">
        <v>479</v>
      </c>
      <c r="K55" s="58">
        <v>46143</v>
      </c>
      <c r="L55" s="18" t="s">
        <v>311</v>
      </c>
    </row>
    <row r="56" spans="1:12" ht="19.5" customHeight="1">
      <c r="A56" s="15" t="s">
        <v>480</v>
      </c>
      <c r="B56" s="62">
        <v>45944</v>
      </c>
      <c r="C56" s="5" t="s">
        <v>285</v>
      </c>
      <c r="D56" s="8" t="s">
        <v>286</v>
      </c>
      <c r="E56" s="8" t="s">
        <v>308</v>
      </c>
      <c r="F56" s="5">
        <v>468</v>
      </c>
      <c r="G56" s="7">
        <v>61</v>
      </c>
      <c r="H56" s="7">
        <f>F56*G56</f>
        <v>28548</v>
      </c>
      <c r="I56" s="5" t="s">
        <v>481</v>
      </c>
      <c r="J56" s="5" t="s">
        <v>482</v>
      </c>
      <c r="K56" s="57">
        <v>46126</v>
      </c>
      <c r="L56" s="17" t="s">
        <v>311</v>
      </c>
    </row>
    <row r="57" spans="1:12" ht="19.5" customHeight="1">
      <c r="A57" s="16" t="s">
        <v>483</v>
      </c>
      <c r="B57" s="63">
        <v>46058</v>
      </c>
      <c r="C57" s="2" t="s">
        <v>175</v>
      </c>
      <c r="D57" s="9" t="s">
        <v>176</v>
      </c>
      <c r="E57" s="9" t="s">
        <v>313</v>
      </c>
      <c r="F57" s="2">
        <v>109</v>
      </c>
      <c r="G57" s="4">
        <v>12</v>
      </c>
      <c r="H57" s="4">
        <f>F57*G57</f>
        <v>1308</v>
      </c>
      <c r="I57" s="2" t="s">
        <v>484</v>
      </c>
      <c r="J57" s="2" t="s">
        <v>485</v>
      </c>
      <c r="K57" s="58">
        <v>46121</v>
      </c>
      <c r="L57" s="18" t="s">
        <v>311</v>
      </c>
    </row>
    <row r="58" spans="1:12" ht="19.5" customHeight="1">
      <c r="A58" s="15" t="s">
        <v>486</v>
      </c>
      <c r="B58" s="62">
        <v>45998</v>
      </c>
      <c r="C58" s="5" t="s">
        <v>269</v>
      </c>
      <c r="D58" s="8" t="s">
        <v>270</v>
      </c>
      <c r="E58" s="8" t="s">
        <v>318</v>
      </c>
      <c r="F58" s="5">
        <v>157</v>
      </c>
      <c r="G58" s="7">
        <v>190</v>
      </c>
      <c r="H58" s="7">
        <f>F58*G58</f>
        <v>29830</v>
      </c>
      <c r="I58" s="5" t="s">
        <v>487</v>
      </c>
      <c r="J58" s="5" t="s">
        <v>488</v>
      </c>
      <c r="K58" s="57">
        <v>46287</v>
      </c>
      <c r="L58" s="17" t="s">
        <v>311</v>
      </c>
    </row>
    <row r="59" spans="1:12" ht="19.5" customHeight="1">
      <c r="A59" s="16" t="s">
        <v>489</v>
      </c>
      <c r="B59" s="63">
        <v>46021</v>
      </c>
      <c r="C59" s="2" t="s">
        <v>245</v>
      </c>
      <c r="D59" s="9" t="s">
        <v>246</v>
      </c>
      <c r="E59" s="9" t="s">
        <v>381</v>
      </c>
      <c r="F59" s="2">
        <v>300</v>
      </c>
      <c r="G59" s="4">
        <v>120</v>
      </c>
      <c r="H59" s="4">
        <f>F59*G59</f>
        <v>36000</v>
      </c>
      <c r="I59" s="2" t="s">
        <v>490</v>
      </c>
      <c r="J59" s="2" t="s">
        <v>491</v>
      </c>
      <c r="K59" s="58">
        <v>46601</v>
      </c>
      <c r="L59" s="18" t="s">
        <v>316</v>
      </c>
    </row>
    <row r="60" spans="1:12" ht="19.5" customHeight="1">
      <c r="A60" s="15" t="s">
        <v>492</v>
      </c>
      <c r="B60" s="62">
        <v>46085</v>
      </c>
      <c r="C60" s="5" t="s">
        <v>179</v>
      </c>
      <c r="D60" s="8" t="s">
        <v>180</v>
      </c>
      <c r="E60" s="8" t="s">
        <v>385</v>
      </c>
      <c r="F60" s="5">
        <v>72</v>
      </c>
      <c r="G60" s="7">
        <v>26</v>
      </c>
      <c r="H60" s="7">
        <f>F60*G60</f>
        <v>1872</v>
      </c>
      <c r="I60" s="5" t="s">
        <v>493</v>
      </c>
      <c r="J60" s="5" t="s">
        <v>494</v>
      </c>
      <c r="K60" s="57">
        <v>46130</v>
      </c>
      <c r="L60" s="17" t="s">
        <v>311</v>
      </c>
    </row>
    <row r="61" spans="1:12" ht="19.5" customHeight="1">
      <c r="A61" s="16" t="s">
        <v>495</v>
      </c>
      <c r="B61" s="63">
        <v>45972</v>
      </c>
      <c r="C61" s="2" t="s">
        <v>146</v>
      </c>
      <c r="D61" s="9" t="s">
        <v>147</v>
      </c>
      <c r="E61" s="9" t="s">
        <v>313</v>
      </c>
      <c r="F61" s="2">
        <v>429</v>
      </c>
      <c r="G61" s="4">
        <v>31</v>
      </c>
      <c r="H61" s="4">
        <f>F61*G61</f>
        <v>13299</v>
      </c>
      <c r="I61" s="2" t="s">
        <v>496</v>
      </c>
      <c r="J61" s="2" t="s">
        <v>497</v>
      </c>
      <c r="K61" s="58">
        <v>46691</v>
      </c>
      <c r="L61" s="18" t="s">
        <v>311</v>
      </c>
    </row>
    <row r="62" spans="1:12" ht="19.5" customHeight="1">
      <c r="A62" s="15" t="s">
        <v>498</v>
      </c>
      <c r="B62" s="62">
        <v>45909</v>
      </c>
      <c r="C62" s="5" t="s">
        <v>134</v>
      </c>
      <c r="D62" s="8" t="s">
        <v>135</v>
      </c>
      <c r="E62" s="8" t="s">
        <v>325</v>
      </c>
      <c r="F62" s="5">
        <v>88</v>
      </c>
      <c r="G62" s="7">
        <v>41</v>
      </c>
      <c r="H62" s="7">
        <f>F62*G62</f>
        <v>3608</v>
      </c>
      <c r="I62" s="5" t="s">
        <v>499</v>
      </c>
      <c r="J62" s="5" t="s">
        <v>500</v>
      </c>
      <c r="K62" s="57">
        <v>46468</v>
      </c>
      <c r="L62" s="17" t="s">
        <v>311</v>
      </c>
    </row>
    <row r="63" spans="1:12" ht="19.5" customHeight="1">
      <c r="A63" s="16" t="s">
        <v>501</v>
      </c>
      <c r="B63" s="63">
        <v>46048</v>
      </c>
      <c r="C63" s="2" t="s">
        <v>263</v>
      </c>
      <c r="D63" s="9" t="s">
        <v>264</v>
      </c>
      <c r="E63" s="9" t="s">
        <v>365</v>
      </c>
      <c r="F63" s="2">
        <v>332</v>
      </c>
      <c r="G63" s="4">
        <v>46</v>
      </c>
      <c r="H63" s="4">
        <f>F63*G63</f>
        <v>15272</v>
      </c>
      <c r="I63" s="2" t="s">
        <v>502</v>
      </c>
      <c r="J63" s="2" t="s">
        <v>503</v>
      </c>
      <c r="K63" s="58">
        <v>46284</v>
      </c>
      <c r="L63" s="18" t="s">
        <v>311</v>
      </c>
    </row>
    <row r="64" spans="1:12" ht="19.5" customHeight="1">
      <c r="A64" s="15" t="s">
        <v>504</v>
      </c>
      <c r="B64" s="62">
        <v>46075</v>
      </c>
      <c r="C64" s="5" t="s">
        <v>204</v>
      </c>
      <c r="D64" s="8" t="s">
        <v>205</v>
      </c>
      <c r="E64" s="8" t="s">
        <v>385</v>
      </c>
      <c r="F64" s="5">
        <v>457</v>
      </c>
      <c r="G64" s="7">
        <v>41</v>
      </c>
      <c r="H64" s="7">
        <f>F64*G64</f>
        <v>18737</v>
      </c>
      <c r="I64" s="5" t="s">
        <v>505</v>
      </c>
      <c r="J64" s="5" t="s">
        <v>506</v>
      </c>
      <c r="K64" s="57">
        <v>46336</v>
      </c>
      <c r="L64" s="17" t="s">
        <v>311</v>
      </c>
    </row>
    <row r="65" spans="1:12" ht="19.5" customHeight="1">
      <c r="A65" s="16" t="s">
        <v>507</v>
      </c>
      <c r="B65" s="63">
        <v>45995</v>
      </c>
      <c r="C65" s="2" t="s">
        <v>285</v>
      </c>
      <c r="D65" s="9" t="s">
        <v>286</v>
      </c>
      <c r="E65" s="9" t="s">
        <v>313</v>
      </c>
      <c r="F65" s="2">
        <v>102</v>
      </c>
      <c r="G65" s="4">
        <v>61</v>
      </c>
      <c r="H65" s="4">
        <f>F65*G65</f>
        <v>6222</v>
      </c>
      <c r="I65" s="2" t="s">
        <v>508</v>
      </c>
      <c r="J65" s="2" t="s">
        <v>509</v>
      </c>
      <c r="K65" s="58">
        <v>46126</v>
      </c>
      <c r="L65" s="18" t="s">
        <v>311</v>
      </c>
    </row>
    <row r="66" spans="1:12" ht="19.5" customHeight="1">
      <c r="A66" s="15" t="s">
        <v>510</v>
      </c>
      <c r="B66" s="62">
        <v>46044</v>
      </c>
      <c r="C66" s="5" t="s">
        <v>167</v>
      </c>
      <c r="D66" s="8" t="s">
        <v>168</v>
      </c>
      <c r="E66" s="8" t="s">
        <v>325</v>
      </c>
      <c r="F66" s="5">
        <v>492</v>
      </c>
      <c r="G66" s="7">
        <v>31</v>
      </c>
      <c r="H66" s="7">
        <f>F66*G66</f>
        <v>15252</v>
      </c>
      <c r="I66" s="5" t="s">
        <v>511</v>
      </c>
      <c r="J66" s="5" t="s">
        <v>512</v>
      </c>
      <c r="K66" s="57">
        <v>46140</v>
      </c>
      <c r="L66" s="17" t="s">
        <v>311</v>
      </c>
    </row>
    <row r="67" spans="1:12" ht="19.5" customHeight="1">
      <c r="A67" s="16" t="s">
        <v>513</v>
      </c>
      <c r="B67" s="63">
        <v>45980</v>
      </c>
      <c r="C67" s="2" t="s">
        <v>303</v>
      </c>
      <c r="D67" s="9" t="s">
        <v>304</v>
      </c>
      <c r="E67" s="9" t="s">
        <v>318</v>
      </c>
      <c r="F67" s="2">
        <v>220</v>
      </c>
      <c r="G67" s="4">
        <v>75</v>
      </c>
      <c r="H67" s="4">
        <f>F67*G67</f>
        <v>16500</v>
      </c>
      <c r="I67" s="2" t="s">
        <v>514</v>
      </c>
      <c r="J67" s="2" t="s">
        <v>515</v>
      </c>
      <c r="K67" s="58">
        <v>46162</v>
      </c>
      <c r="L67" s="18" t="s">
        <v>311</v>
      </c>
    </row>
    <row r="68" spans="1:12" ht="19.5" customHeight="1">
      <c r="A68" s="15" t="s">
        <v>516</v>
      </c>
      <c r="B68" s="62">
        <v>46076</v>
      </c>
      <c r="C68" s="5" t="s">
        <v>209</v>
      </c>
      <c r="D68" s="8" t="s">
        <v>210</v>
      </c>
      <c r="E68" s="8" t="s">
        <v>346</v>
      </c>
      <c r="F68" s="5">
        <v>496</v>
      </c>
      <c r="G68" s="7">
        <v>46</v>
      </c>
      <c r="H68" s="7">
        <f>F68*G68</f>
        <v>22816</v>
      </c>
      <c r="I68" s="5" t="s">
        <v>517</v>
      </c>
      <c r="J68" s="5" t="s">
        <v>518</v>
      </c>
      <c r="K68" s="57">
        <v>46107</v>
      </c>
      <c r="L68" s="17" t="s">
        <v>316</v>
      </c>
    </row>
    <row r="69" spans="1:12" ht="19.5" customHeight="1">
      <c r="A69" s="16" t="s">
        <v>519</v>
      </c>
      <c r="B69" s="63">
        <v>46027</v>
      </c>
      <c r="C69" s="2" t="s">
        <v>200</v>
      </c>
      <c r="D69" s="9" t="s">
        <v>201</v>
      </c>
      <c r="E69" s="9" t="s">
        <v>318</v>
      </c>
      <c r="F69" s="2">
        <v>206</v>
      </c>
      <c r="G69" s="4">
        <v>85</v>
      </c>
      <c r="H69" s="4">
        <f>F69*G69</f>
        <v>17510</v>
      </c>
      <c r="I69" s="2" t="s">
        <v>520</v>
      </c>
      <c r="J69" s="2" t="s">
        <v>405</v>
      </c>
      <c r="K69" s="58">
        <v>46550</v>
      </c>
      <c r="L69" s="18" t="s">
        <v>311</v>
      </c>
    </row>
    <row r="70" spans="1:12" ht="19.5" customHeight="1">
      <c r="A70" s="15" t="s">
        <v>521</v>
      </c>
      <c r="B70" s="62">
        <v>46014</v>
      </c>
      <c r="C70" s="5" t="s">
        <v>217</v>
      </c>
      <c r="D70" s="8" t="s">
        <v>35</v>
      </c>
      <c r="E70" s="8" t="s">
        <v>329</v>
      </c>
      <c r="F70" s="5">
        <v>218</v>
      </c>
      <c r="G70" s="7">
        <v>21</v>
      </c>
      <c r="H70" s="7">
        <f>F70*G70</f>
        <v>4578</v>
      </c>
      <c r="I70" s="5" t="s">
        <v>522</v>
      </c>
      <c r="J70" s="5" t="s">
        <v>523</v>
      </c>
      <c r="K70" s="57">
        <v>46091</v>
      </c>
      <c r="L70" s="17" t="s">
        <v>316</v>
      </c>
    </row>
    <row r="71" spans="1:12" ht="19.5" customHeight="1">
      <c r="A71" s="16" t="s">
        <v>524</v>
      </c>
      <c r="B71" s="63">
        <v>45948</v>
      </c>
      <c r="C71" s="2" t="s">
        <v>287</v>
      </c>
      <c r="D71" s="9" t="s">
        <v>288</v>
      </c>
      <c r="E71" s="9" t="s">
        <v>385</v>
      </c>
      <c r="F71" s="2">
        <v>481</v>
      </c>
      <c r="G71" s="4">
        <v>61</v>
      </c>
      <c r="H71" s="4">
        <f>F71*G71</f>
        <v>29341</v>
      </c>
      <c r="I71" s="2" t="s">
        <v>525</v>
      </c>
      <c r="J71" s="2" t="s">
        <v>526</v>
      </c>
      <c r="K71" s="58">
        <v>46097</v>
      </c>
      <c r="L71" s="18" t="s">
        <v>311</v>
      </c>
    </row>
    <row r="72" spans="1:12" ht="19.5" customHeight="1">
      <c r="A72" s="15" t="s">
        <v>527</v>
      </c>
      <c r="B72" s="62">
        <v>46018</v>
      </c>
      <c r="C72" s="5" t="s">
        <v>150</v>
      </c>
      <c r="D72" s="8" t="s">
        <v>151</v>
      </c>
      <c r="E72" s="8" t="s">
        <v>381</v>
      </c>
      <c r="F72" s="5">
        <v>347</v>
      </c>
      <c r="G72" s="7">
        <v>8</v>
      </c>
      <c r="H72" s="7">
        <f>F72*G72</f>
        <v>2776</v>
      </c>
      <c r="I72" s="5" t="s">
        <v>528</v>
      </c>
      <c r="J72" s="5" t="s">
        <v>529</v>
      </c>
      <c r="K72" s="57">
        <v>46188</v>
      </c>
      <c r="L72" s="17" t="s">
        <v>316</v>
      </c>
    </row>
    <row r="73" spans="1:12" ht="19.5" customHeight="1">
      <c r="A73" s="16" t="s">
        <v>530</v>
      </c>
      <c r="B73" s="63">
        <v>46005</v>
      </c>
      <c r="C73" s="2" t="s">
        <v>200</v>
      </c>
      <c r="D73" s="9" t="s">
        <v>201</v>
      </c>
      <c r="E73" s="9" t="s">
        <v>365</v>
      </c>
      <c r="F73" s="2">
        <v>423</v>
      </c>
      <c r="G73" s="4">
        <v>85</v>
      </c>
      <c r="H73" s="4">
        <f>F73*G73</f>
        <v>35955</v>
      </c>
      <c r="I73" s="2" t="s">
        <v>531</v>
      </c>
      <c r="J73" s="2" t="s">
        <v>532</v>
      </c>
      <c r="K73" s="58">
        <v>46550</v>
      </c>
      <c r="L73" s="18" t="s">
        <v>311</v>
      </c>
    </row>
    <row r="74" spans="1:12" ht="19.5" customHeight="1">
      <c r="A74" s="15" t="s">
        <v>533</v>
      </c>
      <c r="B74" s="62">
        <v>46037</v>
      </c>
      <c r="C74" s="5" t="s">
        <v>213</v>
      </c>
      <c r="D74" s="8" t="s">
        <v>214</v>
      </c>
      <c r="E74" s="8" t="s">
        <v>308</v>
      </c>
      <c r="F74" s="5">
        <v>345</v>
      </c>
      <c r="G74" s="7">
        <v>41</v>
      </c>
      <c r="H74" s="7">
        <f>F74*G74</f>
        <v>14145</v>
      </c>
      <c r="I74" s="5" t="s">
        <v>534</v>
      </c>
      <c r="J74" s="5" t="s">
        <v>535</v>
      </c>
      <c r="K74" s="57">
        <v>46815</v>
      </c>
      <c r="L74" s="17" t="s">
        <v>316</v>
      </c>
    </row>
    <row r="75" spans="1:12" ht="19.5" customHeight="1">
      <c r="A75" s="16" t="s">
        <v>536</v>
      </c>
      <c r="B75" s="63">
        <v>45948</v>
      </c>
      <c r="C75" s="2" t="s">
        <v>95</v>
      </c>
      <c r="D75" s="9" t="s">
        <v>96</v>
      </c>
      <c r="E75" s="9" t="s">
        <v>318</v>
      </c>
      <c r="F75" s="2">
        <v>316</v>
      </c>
      <c r="G75" s="4">
        <v>22</v>
      </c>
      <c r="H75" s="4">
        <f>F75*G75</f>
        <v>6952</v>
      </c>
      <c r="I75" s="2" t="s">
        <v>537</v>
      </c>
      <c r="J75" s="2" t="s">
        <v>538</v>
      </c>
      <c r="K75" s="58">
        <v>46090</v>
      </c>
      <c r="L75" s="18" t="s">
        <v>311</v>
      </c>
    </row>
    <row r="76" spans="1:12" ht="19.5" customHeight="1">
      <c r="A76" s="15" t="s">
        <v>539</v>
      </c>
      <c r="B76" s="62">
        <v>45926</v>
      </c>
      <c r="C76" s="5" t="s">
        <v>285</v>
      </c>
      <c r="D76" s="8" t="s">
        <v>286</v>
      </c>
      <c r="E76" s="8" t="s">
        <v>385</v>
      </c>
      <c r="F76" s="5">
        <v>219</v>
      </c>
      <c r="G76" s="7">
        <v>61</v>
      </c>
      <c r="H76" s="7">
        <f>F76*G76</f>
        <v>13359</v>
      </c>
      <c r="I76" s="5" t="s">
        <v>481</v>
      </c>
      <c r="J76" s="5" t="s">
        <v>540</v>
      </c>
      <c r="K76" s="57">
        <v>46126</v>
      </c>
      <c r="L76" s="17" t="s">
        <v>311</v>
      </c>
    </row>
    <row r="77" spans="1:12" ht="19.5" customHeight="1">
      <c r="A77" s="16" t="s">
        <v>541</v>
      </c>
      <c r="B77" s="63">
        <v>45956</v>
      </c>
      <c r="C77" s="2" t="s">
        <v>299</v>
      </c>
      <c r="D77" s="9" t="s">
        <v>300</v>
      </c>
      <c r="E77" s="9" t="s">
        <v>308</v>
      </c>
      <c r="F77" s="2">
        <v>203</v>
      </c>
      <c r="G77" s="4">
        <v>90</v>
      </c>
      <c r="H77" s="4">
        <f>F77*G77</f>
        <v>18270</v>
      </c>
      <c r="I77" s="2" t="s">
        <v>542</v>
      </c>
      <c r="J77" s="2" t="s">
        <v>543</v>
      </c>
      <c r="K77" s="58">
        <v>46470</v>
      </c>
      <c r="L77" s="18" t="s">
        <v>311</v>
      </c>
    </row>
    <row r="78" spans="1:12" ht="19.5" customHeight="1">
      <c r="A78" s="15" t="s">
        <v>544</v>
      </c>
      <c r="B78" s="62">
        <v>46010</v>
      </c>
      <c r="C78" s="5" t="s">
        <v>217</v>
      </c>
      <c r="D78" s="8" t="s">
        <v>35</v>
      </c>
      <c r="E78" s="8" t="s">
        <v>313</v>
      </c>
      <c r="F78" s="5">
        <v>406</v>
      </c>
      <c r="G78" s="7">
        <v>21</v>
      </c>
      <c r="H78" s="7">
        <f>F78*G78</f>
        <v>8526</v>
      </c>
      <c r="I78" s="5" t="s">
        <v>545</v>
      </c>
      <c r="J78" s="5" t="s">
        <v>435</v>
      </c>
      <c r="K78" s="57">
        <v>46091</v>
      </c>
      <c r="L78" s="17" t="s">
        <v>316</v>
      </c>
    </row>
    <row r="79" spans="1:12" ht="19.5" customHeight="1">
      <c r="A79" s="16" t="s">
        <v>546</v>
      </c>
      <c r="B79" s="63">
        <v>45912</v>
      </c>
      <c r="C79" s="2" t="s">
        <v>285</v>
      </c>
      <c r="D79" s="9" t="s">
        <v>286</v>
      </c>
      <c r="E79" s="9" t="s">
        <v>325</v>
      </c>
      <c r="F79" s="2">
        <v>244</v>
      </c>
      <c r="G79" s="4">
        <v>61</v>
      </c>
      <c r="H79" s="4">
        <f>F79*G79</f>
        <v>14884</v>
      </c>
      <c r="I79" s="2" t="s">
        <v>547</v>
      </c>
      <c r="J79" s="2" t="s">
        <v>548</v>
      </c>
      <c r="K79" s="58">
        <v>46126</v>
      </c>
      <c r="L79" s="18" t="s">
        <v>311</v>
      </c>
    </row>
    <row r="80" spans="1:12" ht="19.5" customHeight="1">
      <c r="A80" s="15" t="s">
        <v>549</v>
      </c>
      <c r="B80" s="62">
        <v>46085</v>
      </c>
      <c r="C80" s="5" t="s">
        <v>217</v>
      </c>
      <c r="D80" s="8" t="s">
        <v>35</v>
      </c>
      <c r="E80" s="8" t="s">
        <v>308</v>
      </c>
      <c r="F80" s="5">
        <v>330</v>
      </c>
      <c r="G80" s="7">
        <v>21</v>
      </c>
      <c r="H80" s="7">
        <f>F80*G80</f>
        <v>6930</v>
      </c>
      <c r="I80" s="5" t="s">
        <v>550</v>
      </c>
      <c r="J80" s="5" t="s">
        <v>551</v>
      </c>
      <c r="K80" s="57">
        <v>46091</v>
      </c>
      <c r="L80" s="17" t="s">
        <v>316</v>
      </c>
    </row>
    <row r="81" spans="1:12" ht="19.5" customHeight="1">
      <c r="A81" s="16" t="s">
        <v>552</v>
      </c>
      <c r="B81" s="63">
        <v>45918</v>
      </c>
      <c r="C81" s="2" t="s">
        <v>263</v>
      </c>
      <c r="D81" s="9" t="s">
        <v>264</v>
      </c>
      <c r="E81" s="9" t="s">
        <v>385</v>
      </c>
      <c r="F81" s="2">
        <v>360</v>
      </c>
      <c r="G81" s="4">
        <v>46</v>
      </c>
      <c r="H81" s="4">
        <f>F81*G81</f>
        <v>16560</v>
      </c>
      <c r="I81" s="2" t="s">
        <v>553</v>
      </c>
      <c r="J81" s="2" t="s">
        <v>554</v>
      </c>
      <c r="K81" s="58">
        <v>46284</v>
      </c>
      <c r="L81" s="18" t="s">
        <v>316</v>
      </c>
    </row>
    <row r="82" spans="1:12" ht="19.5" customHeight="1">
      <c r="A82" s="15" t="s">
        <v>555</v>
      </c>
      <c r="B82" s="62">
        <v>45955</v>
      </c>
      <c r="C82" s="5" t="s">
        <v>287</v>
      </c>
      <c r="D82" s="8" t="s">
        <v>288</v>
      </c>
      <c r="E82" s="8" t="s">
        <v>346</v>
      </c>
      <c r="F82" s="5">
        <v>159</v>
      </c>
      <c r="G82" s="7">
        <v>61</v>
      </c>
      <c r="H82" s="7">
        <f>F82*G82</f>
        <v>9699</v>
      </c>
      <c r="I82" s="5" t="s">
        <v>556</v>
      </c>
      <c r="J82" s="5" t="s">
        <v>557</v>
      </c>
      <c r="K82" s="57">
        <v>46097</v>
      </c>
      <c r="L82" s="17" t="s">
        <v>311</v>
      </c>
    </row>
    <row r="83" spans="1:12" ht="19.5" customHeight="1">
      <c r="A83" s="16" t="s">
        <v>558</v>
      </c>
      <c r="B83" s="63">
        <v>45916</v>
      </c>
      <c r="C83" s="2" t="s">
        <v>181</v>
      </c>
      <c r="D83" s="9" t="s">
        <v>182</v>
      </c>
      <c r="E83" s="9" t="s">
        <v>333</v>
      </c>
      <c r="F83" s="2">
        <v>313</v>
      </c>
      <c r="G83" s="4">
        <v>41</v>
      </c>
      <c r="H83" s="4">
        <f>F83*G83</f>
        <v>12833</v>
      </c>
      <c r="I83" s="2" t="s">
        <v>559</v>
      </c>
      <c r="J83" s="2" t="s">
        <v>560</v>
      </c>
      <c r="K83" s="58">
        <v>46143</v>
      </c>
      <c r="L83" s="18" t="s">
        <v>311</v>
      </c>
    </row>
    <row r="84" spans="1:12" ht="19.5" customHeight="1">
      <c r="A84" s="15" t="s">
        <v>561</v>
      </c>
      <c r="B84" s="62">
        <v>46028</v>
      </c>
      <c r="C84" s="5" t="s">
        <v>287</v>
      </c>
      <c r="D84" s="8" t="s">
        <v>288</v>
      </c>
      <c r="E84" s="8" t="s">
        <v>318</v>
      </c>
      <c r="F84" s="5">
        <v>208</v>
      </c>
      <c r="G84" s="7">
        <v>61</v>
      </c>
      <c r="H84" s="7">
        <f>F84*G84</f>
        <v>12688</v>
      </c>
      <c r="I84" s="5" t="s">
        <v>562</v>
      </c>
      <c r="J84" s="5" t="s">
        <v>512</v>
      </c>
      <c r="K84" s="57">
        <v>46097</v>
      </c>
      <c r="L84" s="17" t="s">
        <v>311</v>
      </c>
    </row>
    <row r="85" spans="1:12" ht="19.5" customHeight="1">
      <c r="A85" s="16" t="s">
        <v>563</v>
      </c>
      <c r="B85" s="63">
        <v>45929</v>
      </c>
      <c r="C85" s="2" t="s">
        <v>169</v>
      </c>
      <c r="D85" s="9" t="s">
        <v>170</v>
      </c>
      <c r="E85" s="9" t="s">
        <v>329</v>
      </c>
      <c r="F85" s="2">
        <v>293</v>
      </c>
      <c r="G85" s="4">
        <v>420</v>
      </c>
      <c r="H85" s="4">
        <f>F85*G85</f>
        <v>123060</v>
      </c>
      <c r="I85" s="2" t="s">
        <v>564</v>
      </c>
      <c r="J85" s="2" t="s">
        <v>565</v>
      </c>
      <c r="K85" s="58">
        <v>46600</v>
      </c>
      <c r="L85" s="18" t="s">
        <v>311</v>
      </c>
    </row>
    <row r="86" spans="1:12" ht="19.5" customHeight="1">
      <c r="A86" s="15" t="s">
        <v>566</v>
      </c>
      <c r="B86" s="62">
        <v>45987</v>
      </c>
      <c r="C86" s="5" t="s">
        <v>297</v>
      </c>
      <c r="D86" s="8" t="s">
        <v>298</v>
      </c>
      <c r="E86" s="8" t="s">
        <v>346</v>
      </c>
      <c r="F86" s="5">
        <v>406</v>
      </c>
      <c r="G86" s="7">
        <v>61</v>
      </c>
      <c r="H86" s="7">
        <f>F86*G86</f>
        <v>24766</v>
      </c>
      <c r="I86" s="5" t="s">
        <v>567</v>
      </c>
      <c r="J86" s="5" t="s">
        <v>568</v>
      </c>
      <c r="K86" s="57">
        <v>46189</v>
      </c>
      <c r="L86" s="17" t="s">
        <v>311</v>
      </c>
    </row>
    <row r="87" spans="1:12" ht="19.5" customHeight="1">
      <c r="A87" s="16" t="s">
        <v>569</v>
      </c>
      <c r="B87" s="63">
        <v>46084</v>
      </c>
      <c r="C87" s="2" t="s">
        <v>281</v>
      </c>
      <c r="D87" s="9" t="s">
        <v>282</v>
      </c>
      <c r="E87" s="9" t="s">
        <v>329</v>
      </c>
      <c r="F87" s="2">
        <v>402</v>
      </c>
      <c r="G87" s="4">
        <v>31</v>
      </c>
      <c r="H87" s="4">
        <f>F87*G87</f>
        <v>12462</v>
      </c>
      <c r="I87" s="2" t="s">
        <v>570</v>
      </c>
      <c r="J87" s="2" t="s">
        <v>571</v>
      </c>
      <c r="K87" s="58">
        <v>46285</v>
      </c>
      <c r="L87" s="18" t="s">
        <v>311</v>
      </c>
    </row>
    <row r="88" spans="1:12" ht="19.5" customHeight="1">
      <c r="A88" s="15" t="s">
        <v>572</v>
      </c>
      <c r="B88" s="62">
        <v>45967</v>
      </c>
      <c r="C88" s="5" t="s">
        <v>293</v>
      </c>
      <c r="D88" s="8" t="s">
        <v>294</v>
      </c>
      <c r="E88" s="8" t="s">
        <v>381</v>
      </c>
      <c r="F88" s="5">
        <v>315</v>
      </c>
      <c r="G88" s="7">
        <v>80</v>
      </c>
      <c r="H88" s="7">
        <f>F88*G88</f>
        <v>25200</v>
      </c>
      <c r="I88" s="5" t="s">
        <v>573</v>
      </c>
      <c r="J88" s="5" t="s">
        <v>574</v>
      </c>
      <c r="K88" s="57">
        <v>46129</v>
      </c>
      <c r="L88" s="17" t="s">
        <v>311</v>
      </c>
    </row>
    <row r="89" spans="1:12" ht="19.5" customHeight="1">
      <c r="A89" s="16" t="s">
        <v>575</v>
      </c>
      <c r="B89" s="63">
        <v>45967</v>
      </c>
      <c r="C89" s="2" t="s">
        <v>233</v>
      </c>
      <c r="D89" s="9" t="s">
        <v>234</v>
      </c>
      <c r="E89" s="9" t="s">
        <v>313</v>
      </c>
      <c r="F89" s="2">
        <v>118</v>
      </c>
      <c r="G89" s="4">
        <v>90</v>
      </c>
      <c r="H89" s="4">
        <f>F89*G89</f>
        <v>10620</v>
      </c>
      <c r="I89" s="2" t="s">
        <v>576</v>
      </c>
      <c r="J89" s="2" t="s">
        <v>458</v>
      </c>
      <c r="K89" s="58">
        <v>46325</v>
      </c>
      <c r="L89" s="18" t="s">
        <v>311</v>
      </c>
    </row>
    <row r="90" spans="1:12" ht="19.5" customHeight="1">
      <c r="A90" s="15" t="s">
        <v>577</v>
      </c>
      <c r="B90" s="62">
        <v>45929</v>
      </c>
      <c r="C90" s="5" t="s">
        <v>95</v>
      </c>
      <c r="D90" s="8" t="s">
        <v>96</v>
      </c>
      <c r="E90" s="8" t="s">
        <v>313</v>
      </c>
      <c r="F90" s="5">
        <v>276</v>
      </c>
      <c r="G90" s="7">
        <v>22</v>
      </c>
      <c r="H90" s="7">
        <f>F90*G90</f>
        <v>6072</v>
      </c>
      <c r="I90" s="5" t="s">
        <v>578</v>
      </c>
      <c r="J90" s="5" t="s">
        <v>579</v>
      </c>
      <c r="K90" s="57">
        <v>46090</v>
      </c>
      <c r="L90" s="17" t="s">
        <v>316</v>
      </c>
    </row>
    <row r="91" spans="1:12" ht="19.5" customHeight="1">
      <c r="A91" s="16" t="s">
        <v>580</v>
      </c>
      <c r="B91" s="63">
        <v>45964</v>
      </c>
      <c r="C91" s="2" t="s">
        <v>146</v>
      </c>
      <c r="D91" s="9" t="s">
        <v>147</v>
      </c>
      <c r="E91" s="9" t="s">
        <v>346</v>
      </c>
      <c r="F91" s="2">
        <v>430</v>
      </c>
      <c r="G91" s="4">
        <v>31</v>
      </c>
      <c r="H91" s="4">
        <f>F91*G91</f>
        <v>13330</v>
      </c>
      <c r="I91" s="2" t="s">
        <v>581</v>
      </c>
      <c r="J91" s="2" t="s">
        <v>582</v>
      </c>
      <c r="K91" s="58">
        <v>46691</v>
      </c>
      <c r="L91" s="18" t="s">
        <v>311</v>
      </c>
    </row>
    <row r="92" spans="1:12" ht="19.5" customHeight="1">
      <c r="A92" s="15" t="s">
        <v>583</v>
      </c>
      <c r="B92" s="62">
        <v>45952</v>
      </c>
      <c r="C92" s="5" t="s">
        <v>277</v>
      </c>
      <c r="D92" s="8" t="s">
        <v>278</v>
      </c>
      <c r="E92" s="8" t="s">
        <v>346</v>
      </c>
      <c r="F92" s="5">
        <v>191</v>
      </c>
      <c r="G92" s="7">
        <v>46</v>
      </c>
      <c r="H92" s="7">
        <f>F92*G92</f>
        <v>8786</v>
      </c>
      <c r="I92" s="5" t="s">
        <v>584</v>
      </c>
      <c r="J92" s="5" t="s">
        <v>585</v>
      </c>
      <c r="K92" s="57">
        <v>46434</v>
      </c>
      <c r="L92" s="17" t="s">
        <v>311</v>
      </c>
    </row>
    <row r="93" spans="1:12" ht="19.5" customHeight="1">
      <c r="A93" s="16" t="s">
        <v>586</v>
      </c>
      <c r="B93" s="63">
        <v>46012</v>
      </c>
      <c r="C93" s="2" t="s">
        <v>229</v>
      </c>
      <c r="D93" s="9" t="s">
        <v>230</v>
      </c>
      <c r="E93" s="9" t="s">
        <v>318</v>
      </c>
      <c r="F93" s="2">
        <v>89</v>
      </c>
      <c r="G93" s="4">
        <v>36</v>
      </c>
      <c r="H93" s="4">
        <f>F93*G93</f>
        <v>3204</v>
      </c>
      <c r="I93" s="2" t="s">
        <v>587</v>
      </c>
      <c r="J93" s="2" t="s">
        <v>588</v>
      </c>
      <c r="K93" s="58">
        <v>46065</v>
      </c>
      <c r="L93" s="18" t="s">
        <v>311</v>
      </c>
    </row>
    <row r="94" spans="1:12" ht="19.5" customHeight="1">
      <c r="A94" s="15" t="s">
        <v>589</v>
      </c>
      <c r="B94" s="62">
        <v>46050</v>
      </c>
      <c r="C94" s="5" t="s">
        <v>254</v>
      </c>
      <c r="D94" s="8" t="s">
        <v>255</v>
      </c>
      <c r="E94" s="8" t="s">
        <v>325</v>
      </c>
      <c r="F94" s="5">
        <v>91</v>
      </c>
      <c r="G94" s="7">
        <v>31</v>
      </c>
      <c r="H94" s="7">
        <f>F94*G94</f>
        <v>2821</v>
      </c>
      <c r="I94" s="5" t="s">
        <v>590</v>
      </c>
      <c r="J94" s="5" t="s">
        <v>591</v>
      </c>
      <c r="K94" s="57">
        <v>46080</v>
      </c>
      <c r="L94" s="17" t="s">
        <v>311</v>
      </c>
    </row>
    <row r="95" spans="1:12" ht="19.5" customHeight="1">
      <c r="A95" s="16" t="s">
        <v>592</v>
      </c>
      <c r="B95" s="63">
        <v>46069</v>
      </c>
      <c r="C95" s="2" t="s">
        <v>295</v>
      </c>
      <c r="D95" s="9" t="s">
        <v>296</v>
      </c>
      <c r="E95" s="9" t="s">
        <v>365</v>
      </c>
      <c r="F95" s="2">
        <v>159</v>
      </c>
      <c r="G95" s="4">
        <v>95</v>
      </c>
      <c r="H95" s="4">
        <f>F95*G95</f>
        <v>15105</v>
      </c>
      <c r="I95" s="2" t="s">
        <v>593</v>
      </c>
      <c r="J95" s="2" t="s">
        <v>594</v>
      </c>
      <c r="K95" s="58">
        <v>46441</v>
      </c>
      <c r="L95" s="18" t="s">
        <v>316</v>
      </c>
    </row>
    <row r="96" spans="1:12" ht="19.5" customHeight="1">
      <c r="A96" s="15" t="s">
        <v>595</v>
      </c>
      <c r="B96" s="62">
        <v>46033</v>
      </c>
      <c r="C96" s="5" t="s">
        <v>220</v>
      </c>
      <c r="D96" s="8" t="s">
        <v>221</v>
      </c>
      <c r="E96" s="8" t="s">
        <v>365</v>
      </c>
      <c r="F96" s="5">
        <v>81</v>
      </c>
      <c r="G96" s="7">
        <v>36</v>
      </c>
      <c r="H96" s="7">
        <f>F96*G96</f>
        <v>2916</v>
      </c>
      <c r="I96" s="5" t="s">
        <v>596</v>
      </c>
      <c r="J96" s="5" t="s">
        <v>597</v>
      </c>
      <c r="K96" s="57">
        <v>46613</v>
      </c>
      <c r="L96" s="17" t="s">
        <v>311</v>
      </c>
    </row>
    <row r="97" spans="1:12" ht="19.5" customHeight="1">
      <c r="A97" s="22" t="s">
        <v>598</v>
      </c>
      <c r="B97" s="64">
        <v>45988</v>
      </c>
      <c r="C97" s="24" t="s">
        <v>52</v>
      </c>
      <c r="D97" s="23" t="s">
        <v>39</v>
      </c>
      <c r="E97" s="23" t="s">
        <v>346</v>
      </c>
      <c r="F97" s="24">
        <v>344</v>
      </c>
      <c r="G97" s="27">
        <v>110</v>
      </c>
      <c r="H97" s="27">
        <f>F97*G97</f>
        <v>37840</v>
      </c>
      <c r="I97" s="24" t="s">
        <v>599</v>
      </c>
      <c r="J97" s="24" t="s">
        <v>600</v>
      </c>
      <c r="K97" s="59">
        <v>46386</v>
      </c>
      <c r="L97" s="26" t="s">
        <v>311</v>
      </c>
    </row>
    <row r="201" spans="1:12">
      <c r="A201" s="5" t="s">
        <v>601</v>
      </c>
      <c r="B201" s="62">
        <v>46027</v>
      </c>
      <c r="C201" s="5" t="s">
        <v>106</v>
      </c>
      <c r="D201" s="5" t="s">
        <v>33</v>
      </c>
      <c r="E201" s="5" t="s">
        <v>329</v>
      </c>
      <c r="F201" s="5">
        <v>306</v>
      </c>
      <c r="G201" s="7">
        <v>46</v>
      </c>
      <c r="H201" s="7">
        <v>14076</v>
      </c>
      <c r="I201" s="5" t="s">
        <v>602</v>
      </c>
      <c r="J201" s="5" t="s">
        <v>603</v>
      </c>
      <c r="K201" s="57">
        <v>46478</v>
      </c>
      <c r="L201" s="5" t="s">
        <v>311</v>
      </c>
    </row>
    <row r="202" spans="1:12">
      <c r="A202" s="2" t="s">
        <v>604</v>
      </c>
      <c r="B202" s="63">
        <v>46044</v>
      </c>
      <c r="C202" s="2" t="s">
        <v>120</v>
      </c>
      <c r="D202" s="2" t="s">
        <v>121</v>
      </c>
      <c r="E202" s="2" t="s">
        <v>329</v>
      </c>
      <c r="F202" s="2">
        <v>217</v>
      </c>
      <c r="G202" s="4">
        <v>20</v>
      </c>
      <c r="H202" s="4">
        <v>4340</v>
      </c>
      <c r="I202" s="2" t="s">
        <v>605</v>
      </c>
      <c r="J202" s="2" t="s">
        <v>606</v>
      </c>
      <c r="K202" s="58">
        <v>46138</v>
      </c>
      <c r="L202" s="2" t="s">
        <v>311</v>
      </c>
    </row>
    <row r="203" spans="1:12">
      <c r="A203" s="5" t="s">
        <v>607</v>
      </c>
      <c r="B203" s="62">
        <v>46008</v>
      </c>
      <c r="C203" s="5" t="s">
        <v>131</v>
      </c>
      <c r="D203" s="5" t="s">
        <v>132</v>
      </c>
      <c r="E203" s="5" t="s">
        <v>308</v>
      </c>
      <c r="F203" s="5">
        <v>296</v>
      </c>
      <c r="G203" s="7">
        <v>31</v>
      </c>
      <c r="H203" s="7">
        <v>9176</v>
      </c>
      <c r="I203" s="5" t="s">
        <v>608</v>
      </c>
      <c r="J203" s="5" t="s">
        <v>609</v>
      </c>
      <c r="K203" s="57">
        <v>46196</v>
      </c>
      <c r="L203" s="5" t="s">
        <v>311</v>
      </c>
    </row>
    <row r="204" spans="1:12">
      <c r="A204" s="2" t="s">
        <v>610</v>
      </c>
      <c r="B204" s="63">
        <v>46050</v>
      </c>
      <c r="C204" s="2" t="s">
        <v>136</v>
      </c>
      <c r="D204" s="2" t="s">
        <v>37</v>
      </c>
      <c r="E204" s="2" t="s">
        <v>318</v>
      </c>
      <c r="F204" s="2">
        <v>350</v>
      </c>
      <c r="G204" s="4">
        <v>18</v>
      </c>
      <c r="H204" s="4">
        <v>6300</v>
      </c>
      <c r="I204" s="2" t="s">
        <v>611</v>
      </c>
      <c r="J204" s="2" t="s">
        <v>417</v>
      </c>
      <c r="K204" s="58">
        <v>46117</v>
      </c>
      <c r="L204" s="2" t="s">
        <v>311</v>
      </c>
    </row>
    <row r="205" spans="1:12">
      <c r="A205" s="5" t="s">
        <v>612</v>
      </c>
      <c r="B205" s="62">
        <v>45974</v>
      </c>
      <c r="C205" s="5" t="s">
        <v>142</v>
      </c>
      <c r="D205" s="5" t="s">
        <v>143</v>
      </c>
      <c r="E205" s="5" t="s">
        <v>325</v>
      </c>
      <c r="F205" s="5">
        <v>210</v>
      </c>
      <c r="G205" s="7">
        <v>58</v>
      </c>
      <c r="H205" s="7">
        <v>12180</v>
      </c>
      <c r="I205" s="5" t="s">
        <v>613</v>
      </c>
      <c r="J205" s="5" t="s">
        <v>614</v>
      </c>
      <c r="K205" s="57">
        <v>46582</v>
      </c>
      <c r="L205" s="5" t="s">
        <v>311</v>
      </c>
    </row>
    <row r="206" spans="1:12">
      <c r="A206" s="2" t="s">
        <v>615</v>
      </c>
      <c r="B206" s="63">
        <v>46056</v>
      </c>
      <c r="C206" s="2" t="s">
        <v>148</v>
      </c>
      <c r="D206" s="2" t="s">
        <v>149</v>
      </c>
      <c r="E206" s="2" t="s">
        <v>318</v>
      </c>
      <c r="F206" s="2">
        <v>208</v>
      </c>
      <c r="G206" s="4">
        <v>21</v>
      </c>
      <c r="H206" s="4">
        <v>4368</v>
      </c>
      <c r="I206" s="2" t="s">
        <v>616</v>
      </c>
      <c r="J206" s="2" t="s">
        <v>603</v>
      </c>
      <c r="K206" s="58">
        <v>46132</v>
      </c>
      <c r="L206" s="2" t="s">
        <v>311</v>
      </c>
    </row>
    <row r="207" spans="1:12">
      <c r="A207" s="5" t="s">
        <v>617</v>
      </c>
      <c r="B207" s="62">
        <v>46032</v>
      </c>
      <c r="C207" s="5" t="s">
        <v>152</v>
      </c>
      <c r="D207" s="5" t="s">
        <v>153</v>
      </c>
      <c r="E207" s="5" t="s">
        <v>381</v>
      </c>
      <c r="F207" s="5">
        <v>390</v>
      </c>
      <c r="G207" s="7">
        <v>13</v>
      </c>
      <c r="H207" s="7">
        <v>5070</v>
      </c>
      <c r="I207" s="5" t="s">
        <v>618</v>
      </c>
      <c r="J207" s="5" t="s">
        <v>619</v>
      </c>
      <c r="K207" s="57">
        <v>46772</v>
      </c>
      <c r="L207" s="5" t="s">
        <v>311</v>
      </c>
    </row>
    <row r="208" spans="1:12">
      <c r="A208" s="2" t="s">
        <v>620</v>
      </c>
      <c r="B208" s="63">
        <v>46015</v>
      </c>
      <c r="C208" s="2" t="s">
        <v>154</v>
      </c>
      <c r="D208" s="2" t="s">
        <v>155</v>
      </c>
      <c r="E208" s="2" t="s">
        <v>325</v>
      </c>
      <c r="F208" s="2">
        <v>144</v>
      </c>
      <c r="G208" s="4">
        <v>41</v>
      </c>
      <c r="H208" s="4">
        <v>5904</v>
      </c>
      <c r="I208" s="2" t="s">
        <v>621</v>
      </c>
      <c r="J208" s="2" t="s">
        <v>622</v>
      </c>
      <c r="K208" s="58">
        <v>46469</v>
      </c>
      <c r="L208" s="2" t="s">
        <v>311</v>
      </c>
    </row>
    <row r="209" spans="1:12">
      <c r="A209" s="5" t="s">
        <v>623</v>
      </c>
      <c r="B209" s="62">
        <v>46004</v>
      </c>
      <c r="C209" s="5" t="s">
        <v>158</v>
      </c>
      <c r="D209" s="5" t="s">
        <v>159</v>
      </c>
      <c r="E209" s="5" t="s">
        <v>381</v>
      </c>
      <c r="F209" s="5">
        <v>237</v>
      </c>
      <c r="G209" s="7">
        <v>13</v>
      </c>
      <c r="H209" s="7">
        <v>3081</v>
      </c>
      <c r="I209" s="5" t="s">
        <v>624</v>
      </c>
      <c r="J209" s="5" t="s">
        <v>625</v>
      </c>
      <c r="K209" s="57">
        <v>46479</v>
      </c>
      <c r="L209" s="5" t="s">
        <v>311</v>
      </c>
    </row>
    <row r="210" spans="1:12">
      <c r="A210" s="2" t="s">
        <v>626</v>
      </c>
      <c r="B210" s="63">
        <v>46007</v>
      </c>
      <c r="C210" s="2" t="s">
        <v>165</v>
      </c>
      <c r="D210" s="2" t="s">
        <v>166</v>
      </c>
      <c r="E210" s="2" t="s">
        <v>381</v>
      </c>
      <c r="F210" s="2">
        <v>285</v>
      </c>
      <c r="G210" s="4">
        <v>140</v>
      </c>
      <c r="H210" s="4">
        <v>39900</v>
      </c>
      <c r="I210" s="2" t="s">
        <v>627</v>
      </c>
      <c r="J210" s="2" t="s">
        <v>628</v>
      </c>
      <c r="K210" s="58">
        <v>46529</v>
      </c>
      <c r="L210" s="2" t="s">
        <v>311</v>
      </c>
    </row>
    <row r="211" spans="1:12">
      <c r="A211" s="5" t="s">
        <v>629</v>
      </c>
      <c r="B211" s="62">
        <v>45998</v>
      </c>
      <c r="C211" s="5" t="s">
        <v>188</v>
      </c>
      <c r="D211" s="5" t="s">
        <v>189</v>
      </c>
      <c r="E211" s="5" t="s">
        <v>318</v>
      </c>
      <c r="F211" s="5">
        <v>201</v>
      </c>
      <c r="G211" s="7">
        <v>13</v>
      </c>
      <c r="H211" s="7">
        <v>2613</v>
      </c>
      <c r="I211" s="5" t="s">
        <v>630</v>
      </c>
      <c r="J211" s="5" t="s">
        <v>631</v>
      </c>
      <c r="K211" s="57">
        <v>46748</v>
      </c>
      <c r="L211" s="5" t="s">
        <v>311</v>
      </c>
    </row>
    <row r="212" spans="1:12">
      <c r="A212" s="2" t="s">
        <v>632</v>
      </c>
      <c r="B212" s="63">
        <v>46048</v>
      </c>
      <c r="C212" s="2" t="s">
        <v>192</v>
      </c>
      <c r="D212" s="2" t="s">
        <v>193</v>
      </c>
      <c r="E212" s="2" t="s">
        <v>329</v>
      </c>
      <c r="F212" s="2">
        <v>166</v>
      </c>
      <c r="G212" s="4">
        <v>7</v>
      </c>
      <c r="H212" s="4">
        <v>1162</v>
      </c>
      <c r="I212" s="2" t="s">
        <v>633</v>
      </c>
      <c r="J212" s="2" t="s">
        <v>458</v>
      </c>
      <c r="K212" s="58">
        <v>46376</v>
      </c>
      <c r="L212" s="2" t="s">
        <v>311</v>
      </c>
    </row>
    <row r="213" spans="1:12">
      <c r="A213" s="5" t="s">
        <v>634</v>
      </c>
      <c r="B213" s="62">
        <v>46011</v>
      </c>
      <c r="C213" s="5" t="s">
        <v>215</v>
      </c>
      <c r="D213" s="5" t="s">
        <v>216</v>
      </c>
      <c r="E213" s="5" t="s">
        <v>329</v>
      </c>
      <c r="F213" s="5">
        <v>190</v>
      </c>
      <c r="G213" s="7">
        <v>17</v>
      </c>
      <c r="H213" s="7">
        <v>3230</v>
      </c>
      <c r="I213" s="5" t="s">
        <v>635</v>
      </c>
      <c r="J213" s="5" t="s">
        <v>636</v>
      </c>
      <c r="K213" s="57">
        <v>46058</v>
      </c>
      <c r="L213" s="5" t="s">
        <v>311</v>
      </c>
    </row>
    <row r="214" spans="1:12">
      <c r="A214" s="2" t="s">
        <v>637</v>
      </c>
      <c r="B214" s="63">
        <v>46054</v>
      </c>
      <c r="C214" s="2" t="s">
        <v>226</v>
      </c>
      <c r="D214" s="2" t="s">
        <v>227</v>
      </c>
      <c r="E214" s="2" t="s">
        <v>318</v>
      </c>
      <c r="F214" s="2">
        <v>111</v>
      </c>
      <c r="G214" s="4">
        <v>41</v>
      </c>
      <c r="H214" s="4">
        <v>4551</v>
      </c>
      <c r="I214" s="2" t="s">
        <v>638</v>
      </c>
      <c r="J214" s="2" t="s">
        <v>639</v>
      </c>
      <c r="K214" s="58">
        <v>46806</v>
      </c>
      <c r="L214" s="2" t="s">
        <v>311</v>
      </c>
    </row>
    <row r="215" spans="1:12">
      <c r="A215" s="5" t="s">
        <v>640</v>
      </c>
      <c r="B215" s="62">
        <v>46065</v>
      </c>
      <c r="C215" s="5" t="s">
        <v>231</v>
      </c>
      <c r="D215" s="5" t="s">
        <v>232</v>
      </c>
      <c r="E215" s="5" t="s">
        <v>318</v>
      </c>
      <c r="F215" s="5">
        <v>314</v>
      </c>
      <c r="G215" s="7">
        <v>61</v>
      </c>
      <c r="H215" s="7">
        <v>19154</v>
      </c>
      <c r="I215" s="5" t="s">
        <v>641</v>
      </c>
      <c r="J215" s="5" t="s">
        <v>642</v>
      </c>
      <c r="K215" s="57">
        <v>46492</v>
      </c>
      <c r="L215" s="5" t="s">
        <v>311</v>
      </c>
    </row>
    <row r="216" spans="1:12">
      <c r="A216" s="2" t="s">
        <v>643</v>
      </c>
      <c r="B216" s="63">
        <v>46036</v>
      </c>
      <c r="C216" s="2" t="s">
        <v>240</v>
      </c>
      <c r="D216" s="2" t="s">
        <v>32</v>
      </c>
      <c r="E216" s="2" t="s">
        <v>308</v>
      </c>
      <c r="F216" s="2">
        <v>173</v>
      </c>
      <c r="G216" s="4">
        <v>80</v>
      </c>
      <c r="H216" s="4">
        <v>13840</v>
      </c>
      <c r="I216" s="2" t="s">
        <v>644</v>
      </c>
      <c r="J216" s="2" t="s">
        <v>379</v>
      </c>
      <c r="K216" s="58">
        <v>46083</v>
      </c>
      <c r="L216" s="2" t="s">
        <v>311</v>
      </c>
    </row>
    <row r="217" spans="1:12">
      <c r="A217" s="5" t="s">
        <v>645</v>
      </c>
      <c r="B217" s="62">
        <v>46058</v>
      </c>
      <c r="C217" s="5" t="s">
        <v>243</v>
      </c>
      <c r="D217" s="5" t="s">
        <v>244</v>
      </c>
      <c r="E217" s="5" t="s">
        <v>308</v>
      </c>
      <c r="F217" s="5">
        <v>268</v>
      </c>
      <c r="G217" s="7">
        <v>90</v>
      </c>
      <c r="H217" s="7">
        <v>24120</v>
      </c>
      <c r="I217" s="5" t="s">
        <v>646</v>
      </c>
      <c r="J217" s="5" t="s">
        <v>647</v>
      </c>
      <c r="K217" s="57">
        <v>46399</v>
      </c>
      <c r="L217" s="5" t="s">
        <v>311</v>
      </c>
    </row>
    <row r="218" spans="1:12">
      <c r="A218" s="2" t="s">
        <v>648</v>
      </c>
      <c r="B218" s="63">
        <v>45994</v>
      </c>
      <c r="C218" s="2" t="s">
        <v>247</v>
      </c>
      <c r="D218" s="2" t="s">
        <v>248</v>
      </c>
      <c r="E218" s="2" t="s">
        <v>329</v>
      </c>
      <c r="F218" s="2">
        <v>128</v>
      </c>
      <c r="G218" s="4">
        <v>61</v>
      </c>
      <c r="H218" s="4">
        <v>7808</v>
      </c>
      <c r="I218" s="2" t="s">
        <v>649</v>
      </c>
      <c r="J218" s="2" t="s">
        <v>650</v>
      </c>
      <c r="K218" s="58">
        <v>46608</v>
      </c>
      <c r="L218" s="2" t="s">
        <v>311</v>
      </c>
    </row>
    <row r="219" spans="1:12">
      <c r="A219" s="5" t="s">
        <v>651</v>
      </c>
      <c r="B219" s="62">
        <v>46024</v>
      </c>
      <c r="C219" s="5" t="s">
        <v>249</v>
      </c>
      <c r="D219" s="5" t="s">
        <v>250</v>
      </c>
      <c r="E219" s="5" t="s">
        <v>329</v>
      </c>
      <c r="F219" s="5">
        <v>379</v>
      </c>
      <c r="G219" s="7">
        <v>31</v>
      </c>
      <c r="H219" s="7">
        <v>11749</v>
      </c>
      <c r="I219" s="5" t="s">
        <v>652</v>
      </c>
      <c r="J219" s="5" t="s">
        <v>653</v>
      </c>
      <c r="K219" s="57">
        <v>46131</v>
      </c>
      <c r="L219" s="5" t="s">
        <v>311</v>
      </c>
    </row>
    <row r="220" spans="1:12">
      <c r="A220" s="2" t="s">
        <v>654</v>
      </c>
      <c r="B220" s="63">
        <v>46068</v>
      </c>
      <c r="C220" s="2" t="s">
        <v>262</v>
      </c>
      <c r="D220" s="2" t="s">
        <v>31</v>
      </c>
      <c r="E220" s="2" t="s">
        <v>329</v>
      </c>
      <c r="F220" s="2">
        <v>343</v>
      </c>
      <c r="G220" s="4">
        <v>90</v>
      </c>
      <c r="H220" s="4">
        <v>30870</v>
      </c>
      <c r="I220" s="2" t="s">
        <v>655</v>
      </c>
      <c r="J220" s="2" t="s">
        <v>656</v>
      </c>
      <c r="K220" s="58">
        <v>46523</v>
      </c>
      <c r="L220" s="2" t="s">
        <v>311</v>
      </c>
    </row>
    <row r="221" spans="1:12">
      <c r="A221" s="5" t="s">
        <v>657</v>
      </c>
      <c r="B221" s="62">
        <v>45998</v>
      </c>
      <c r="C221" s="5" t="s">
        <v>271</v>
      </c>
      <c r="D221" s="5" t="s">
        <v>272</v>
      </c>
      <c r="E221" s="5" t="s">
        <v>318</v>
      </c>
      <c r="F221" s="5">
        <v>177</v>
      </c>
      <c r="G221" s="7">
        <v>36</v>
      </c>
      <c r="H221" s="7">
        <v>6372</v>
      </c>
      <c r="I221" s="5" t="s">
        <v>658</v>
      </c>
      <c r="J221" s="5" t="s">
        <v>659</v>
      </c>
      <c r="K221" s="57">
        <v>46403</v>
      </c>
      <c r="L221" s="5" t="s">
        <v>311</v>
      </c>
    </row>
    <row r="222" spans="1:12">
      <c r="A222" s="2" t="s">
        <v>660</v>
      </c>
      <c r="B222" s="63">
        <v>46057</v>
      </c>
      <c r="C222" s="2" t="s">
        <v>273</v>
      </c>
      <c r="D222" s="2" t="s">
        <v>274</v>
      </c>
      <c r="E222" s="2" t="s">
        <v>325</v>
      </c>
      <c r="F222" s="2">
        <v>160</v>
      </c>
      <c r="G222" s="4">
        <v>61</v>
      </c>
      <c r="H222" s="4">
        <v>9760</v>
      </c>
      <c r="I222" s="2" t="s">
        <v>661</v>
      </c>
      <c r="J222" s="2" t="s">
        <v>662</v>
      </c>
      <c r="K222" s="58">
        <v>46757</v>
      </c>
      <c r="L222" s="2" t="s">
        <v>311</v>
      </c>
    </row>
    <row r="223" spans="1:12">
      <c r="A223" s="5" t="s">
        <v>663</v>
      </c>
      <c r="B223" s="62">
        <v>46057</v>
      </c>
      <c r="C223" s="5" t="s">
        <v>291</v>
      </c>
      <c r="D223" s="5" t="s">
        <v>30</v>
      </c>
      <c r="E223" s="5" t="s">
        <v>329</v>
      </c>
      <c r="F223" s="5">
        <v>309</v>
      </c>
      <c r="G223" s="7">
        <v>140</v>
      </c>
      <c r="H223" s="7">
        <v>43260</v>
      </c>
      <c r="I223" s="5" t="s">
        <v>664</v>
      </c>
      <c r="J223" s="5" t="s">
        <v>665</v>
      </c>
      <c r="K223" s="57">
        <v>46350</v>
      </c>
      <c r="L223" s="5" t="s">
        <v>311</v>
      </c>
    </row>
  </sheetData>
  <conditionalFormatting sqref="L1:L1048576">
    <cfRule type="cellIs" dxfId="116" priority="2" operator="equal">
      <formula>"Paid"</formula>
    </cfRule>
  </conditionalFormatting>
  <conditionalFormatting sqref="L1:L1048576">
    <cfRule type="cellIs" dxfId="115" priority="1" operator="equal">
      <formula>"Pending"</formula>
    </cfRule>
  </conditionalFormatting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97"/>
  <sheetViews>
    <sheetView showGridLines="0" zoomScaleNormal="100" workbookViewId="0">
      <pane ySplit="1" topLeftCell="A2" activePane="bottomLeft" state="frozen"/>
      <selection pane="bottomLeft" activeCell="P8" sqref="P8"/>
    </sheetView>
  </sheetViews>
  <sheetFormatPr defaultColWidth="8.7109375" defaultRowHeight="15"/>
  <cols>
    <col min="1" max="2" width="10" style="1" customWidth="1"/>
    <col min="3" max="3" width="12" style="65" customWidth="1"/>
    <col min="4" max="4" width="9.7109375" style="1" bestFit="1" customWidth="1"/>
    <col min="5" max="5" width="28" style="1" customWidth="1"/>
    <col min="6" max="6" width="20" style="1" customWidth="1"/>
    <col min="7" max="7" width="10.7109375" style="1" bestFit="1" customWidth="1"/>
    <col min="8" max="8" width="17.42578125" style="1" bestFit="1" customWidth="1"/>
    <col min="9" max="9" width="21.28515625" style="1" bestFit="1" customWidth="1"/>
    <col min="10" max="10" width="17.85546875" style="1" bestFit="1" customWidth="1"/>
    <col min="11" max="11" width="17.7109375" style="1" bestFit="1" customWidth="1"/>
    <col min="12" max="12" width="19.28515625" style="1" bestFit="1" customWidth="1"/>
    <col min="13" max="13" width="16.28515625" style="1" bestFit="1" customWidth="1"/>
    <col min="14" max="14" width="15.140625" style="1" bestFit="1" customWidth="1"/>
    <col min="15" max="15" width="14.85546875" style="1" bestFit="1" customWidth="1"/>
  </cols>
  <sheetData>
    <row r="1" spans="1:15" ht="34.5" customHeight="1">
      <c r="A1" s="19" t="s">
        <v>89</v>
      </c>
      <c r="B1" s="19" t="s">
        <v>21</v>
      </c>
      <c r="C1" s="61" t="s">
        <v>81</v>
      </c>
      <c r="D1" s="20" t="s">
        <v>55</v>
      </c>
      <c r="E1" s="20" t="s">
        <v>28</v>
      </c>
      <c r="F1" s="20" t="s">
        <v>90</v>
      </c>
      <c r="G1" s="20" t="s">
        <v>83</v>
      </c>
      <c r="H1" s="20" t="s">
        <v>58</v>
      </c>
      <c r="I1" s="20" t="s">
        <v>91</v>
      </c>
      <c r="J1" s="20" t="s">
        <v>59</v>
      </c>
      <c r="K1" s="20" t="s">
        <v>84</v>
      </c>
      <c r="L1" s="20" t="s">
        <v>92</v>
      </c>
      <c r="M1" s="20" t="s">
        <v>40</v>
      </c>
      <c r="N1" s="20" t="s">
        <v>93</v>
      </c>
      <c r="O1" s="21" t="s">
        <v>94</v>
      </c>
    </row>
    <row r="2" spans="1:15" ht="19.5" customHeight="1">
      <c r="A2" s="15" t="s">
        <v>666</v>
      </c>
      <c r="B2" s="15" t="str">
        <f>TEXT(C2,"mmm yyyy")</f>
        <v>Mar 2026</v>
      </c>
      <c r="C2" s="62">
        <v>46086</v>
      </c>
      <c r="D2" s="5" t="s">
        <v>192</v>
      </c>
      <c r="E2" s="8" t="s">
        <v>193</v>
      </c>
      <c r="F2" s="8" t="s">
        <v>667</v>
      </c>
      <c r="G2" s="5">
        <v>10</v>
      </c>
      <c r="H2" s="7">
        <v>15</v>
      </c>
      <c r="I2" s="7">
        <f>G2*H2</f>
        <v>150</v>
      </c>
      <c r="J2" s="7">
        <v>7</v>
      </c>
      <c r="K2" s="7">
        <f>G2*J2</f>
        <v>70</v>
      </c>
      <c r="L2" s="7">
        <f>I2-K2</f>
        <v>80</v>
      </c>
      <c r="M2" s="5" t="s">
        <v>41</v>
      </c>
      <c r="N2" s="7">
        <v>150</v>
      </c>
      <c r="O2" s="28">
        <f>I2-N2</f>
        <v>0</v>
      </c>
    </row>
    <row r="3" spans="1:15" ht="19.5" customHeight="1">
      <c r="A3" s="16" t="s">
        <v>668</v>
      </c>
      <c r="B3" s="15" t="str">
        <f t="shared" ref="B3:B66" si="0">TEXT(C3,"mmm yyyy")</f>
        <v>Feb 2026</v>
      </c>
      <c r="C3" s="63">
        <v>46078</v>
      </c>
      <c r="D3" s="2" t="s">
        <v>252</v>
      </c>
      <c r="E3" s="9" t="s">
        <v>253</v>
      </c>
      <c r="F3" s="9" t="s">
        <v>669</v>
      </c>
      <c r="G3" s="2">
        <v>7</v>
      </c>
      <c r="H3" s="4">
        <v>55</v>
      </c>
      <c r="I3" s="4">
        <f>G3*H3</f>
        <v>385</v>
      </c>
      <c r="J3" s="4">
        <v>26</v>
      </c>
      <c r="K3" s="4">
        <f>G3*J3</f>
        <v>182</v>
      </c>
      <c r="L3" s="4">
        <f>I3-K3</f>
        <v>203</v>
      </c>
      <c r="M3" s="2" t="s">
        <v>41</v>
      </c>
      <c r="N3" s="4">
        <v>385</v>
      </c>
      <c r="O3" s="29">
        <f>I3-N3</f>
        <v>0</v>
      </c>
    </row>
    <row r="4" spans="1:15" ht="19.5" customHeight="1">
      <c r="A4" s="15" t="s">
        <v>670</v>
      </c>
      <c r="B4" s="15" t="str">
        <f t="shared" si="0"/>
        <v>Jan 2026</v>
      </c>
      <c r="C4" s="62">
        <v>46032</v>
      </c>
      <c r="D4" s="5" t="s">
        <v>161</v>
      </c>
      <c r="E4" s="8" t="s">
        <v>162</v>
      </c>
      <c r="F4" s="8" t="s">
        <v>667</v>
      </c>
      <c r="G4" s="5">
        <v>3</v>
      </c>
      <c r="H4" s="7">
        <v>45</v>
      </c>
      <c r="I4" s="7">
        <f>G4*H4</f>
        <v>135</v>
      </c>
      <c r="J4" s="7">
        <v>21</v>
      </c>
      <c r="K4" s="7">
        <f>G4*J4</f>
        <v>63</v>
      </c>
      <c r="L4" s="7">
        <f>I4-K4</f>
        <v>72</v>
      </c>
      <c r="M4" s="5" t="s">
        <v>41</v>
      </c>
      <c r="N4" s="7">
        <v>135</v>
      </c>
      <c r="O4" s="28">
        <f>I4-N4</f>
        <v>0</v>
      </c>
    </row>
    <row r="5" spans="1:15" ht="19.5" customHeight="1">
      <c r="A5" s="16" t="s">
        <v>671</v>
      </c>
      <c r="B5" s="15" t="str">
        <f t="shared" si="0"/>
        <v>Feb 2026</v>
      </c>
      <c r="C5" s="63">
        <v>46078</v>
      </c>
      <c r="D5" s="2" t="s">
        <v>167</v>
      </c>
      <c r="E5" s="9" t="s">
        <v>168</v>
      </c>
      <c r="F5" s="9" t="s">
        <v>672</v>
      </c>
      <c r="G5" s="2">
        <v>6</v>
      </c>
      <c r="H5" s="4">
        <v>65</v>
      </c>
      <c r="I5" s="4">
        <f>G5*H5</f>
        <v>390</v>
      </c>
      <c r="J5" s="4">
        <v>31</v>
      </c>
      <c r="K5" s="4">
        <f>G5*J5</f>
        <v>186</v>
      </c>
      <c r="L5" s="4">
        <f>I5-K5</f>
        <v>204</v>
      </c>
      <c r="M5" s="2" t="s">
        <v>41</v>
      </c>
      <c r="N5" s="4">
        <v>390</v>
      </c>
      <c r="O5" s="29">
        <f>I5-N5</f>
        <v>0</v>
      </c>
    </row>
    <row r="6" spans="1:15" ht="19.5" customHeight="1">
      <c r="A6" s="15" t="s">
        <v>673</v>
      </c>
      <c r="B6" s="15" t="str">
        <f t="shared" si="0"/>
        <v>Dec 2025</v>
      </c>
      <c r="C6" s="62">
        <v>46011</v>
      </c>
      <c r="D6" s="5" t="s">
        <v>136</v>
      </c>
      <c r="E6" s="8" t="s">
        <v>37</v>
      </c>
      <c r="F6" s="8" t="s">
        <v>674</v>
      </c>
      <c r="G6" s="5">
        <v>15</v>
      </c>
      <c r="H6" s="7">
        <v>38</v>
      </c>
      <c r="I6" s="7">
        <f>G6*H6</f>
        <v>570</v>
      </c>
      <c r="J6" s="7">
        <v>18</v>
      </c>
      <c r="K6" s="7">
        <f>G6*J6</f>
        <v>270</v>
      </c>
      <c r="L6" s="7">
        <f>I6-K6</f>
        <v>300</v>
      </c>
      <c r="M6" s="5" t="s">
        <v>41</v>
      </c>
      <c r="N6" s="7">
        <v>570</v>
      </c>
      <c r="O6" s="28">
        <f>I6-N6</f>
        <v>0</v>
      </c>
    </row>
    <row r="7" spans="1:15" ht="19.5" customHeight="1">
      <c r="A7" s="16" t="s">
        <v>675</v>
      </c>
      <c r="B7" s="15" t="str">
        <f t="shared" si="0"/>
        <v>Feb 2026</v>
      </c>
      <c r="C7" s="63">
        <v>46057</v>
      </c>
      <c r="D7" s="2" t="s">
        <v>262</v>
      </c>
      <c r="E7" s="9" t="s">
        <v>31</v>
      </c>
      <c r="F7" s="9" t="s">
        <v>674</v>
      </c>
      <c r="G7" s="2">
        <v>38</v>
      </c>
      <c r="H7" s="4">
        <v>185</v>
      </c>
      <c r="I7" s="4">
        <f>G7*H7</f>
        <v>7030</v>
      </c>
      <c r="J7" s="4">
        <v>90</v>
      </c>
      <c r="K7" s="4">
        <f>G7*J7</f>
        <v>3420</v>
      </c>
      <c r="L7" s="4">
        <f>I7-K7</f>
        <v>3610</v>
      </c>
      <c r="M7" s="2" t="s">
        <v>41</v>
      </c>
      <c r="N7" s="4">
        <v>7030</v>
      </c>
      <c r="O7" s="29">
        <f>I7-N7</f>
        <v>0</v>
      </c>
    </row>
    <row r="8" spans="1:15" ht="19.5" customHeight="1">
      <c r="A8" s="15" t="s">
        <v>676</v>
      </c>
      <c r="B8" s="15" t="str">
        <f t="shared" si="0"/>
        <v>Feb 2026</v>
      </c>
      <c r="C8" s="62">
        <v>46067</v>
      </c>
      <c r="D8" s="5" t="s">
        <v>258</v>
      </c>
      <c r="E8" s="8" t="s">
        <v>259</v>
      </c>
      <c r="F8" s="8" t="s">
        <v>677</v>
      </c>
      <c r="G8" s="5">
        <v>9</v>
      </c>
      <c r="H8" s="7">
        <v>65</v>
      </c>
      <c r="I8" s="7">
        <f>G8*H8</f>
        <v>585</v>
      </c>
      <c r="J8" s="7">
        <v>31</v>
      </c>
      <c r="K8" s="7">
        <f>G8*J8</f>
        <v>279</v>
      </c>
      <c r="L8" s="7">
        <f>I8-K8</f>
        <v>306</v>
      </c>
      <c r="M8" s="5" t="s">
        <v>41</v>
      </c>
      <c r="N8" s="7">
        <v>585</v>
      </c>
      <c r="O8" s="28">
        <f>I8-N8</f>
        <v>0</v>
      </c>
    </row>
    <row r="9" spans="1:15" ht="19.5" customHeight="1">
      <c r="A9" s="16" t="s">
        <v>678</v>
      </c>
      <c r="B9" s="15" t="str">
        <f t="shared" si="0"/>
        <v>Dec 2025</v>
      </c>
      <c r="C9" s="63">
        <v>45998</v>
      </c>
      <c r="D9" s="2" t="s">
        <v>136</v>
      </c>
      <c r="E9" s="9" t="s">
        <v>37</v>
      </c>
      <c r="F9" s="9" t="s">
        <v>679</v>
      </c>
      <c r="G9" s="2">
        <v>37</v>
      </c>
      <c r="H9" s="4">
        <v>38</v>
      </c>
      <c r="I9" s="4">
        <f>G9*H9</f>
        <v>1406</v>
      </c>
      <c r="J9" s="4">
        <v>18</v>
      </c>
      <c r="K9" s="4">
        <f>G9*J9</f>
        <v>666</v>
      </c>
      <c r="L9" s="4">
        <f>I9-K9</f>
        <v>740</v>
      </c>
      <c r="M9" s="2" t="s">
        <v>41</v>
      </c>
      <c r="N9" s="4">
        <v>1406</v>
      </c>
      <c r="O9" s="29">
        <f>I9-N9</f>
        <v>0</v>
      </c>
    </row>
    <row r="10" spans="1:15" ht="19.5" customHeight="1">
      <c r="A10" s="15" t="s">
        <v>680</v>
      </c>
      <c r="B10" s="15" t="str">
        <f t="shared" si="0"/>
        <v>Feb 2026</v>
      </c>
      <c r="C10" s="62">
        <v>46061</v>
      </c>
      <c r="D10" s="5" t="s">
        <v>131</v>
      </c>
      <c r="E10" s="8" t="s">
        <v>132</v>
      </c>
      <c r="F10" s="8" t="s">
        <v>681</v>
      </c>
      <c r="G10" s="5">
        <v>38</v>
      </c>
      <c r="H10" s="7">
        <v>65</v>
      </c>
      <c r="I10" s="7">
        <f>G10*H10</f>
        <v>2470</v>
      </c>
      <c r="J10" s="7">
        <v>31</v>
      </c>
      <c r="K10" s="7">
        <f>G10*J10</f>
        <v>1178</v>
      </c>
      <c r="L10" s="7">
        <f>I10-K10</f>
        <v>1292</v>
      </c>
      <c r="M10" s="5" t="s">
        <v>41</v>
      </c>
      <c r="N10" s="7">
        <v>2470</v>
      </c>
      <c r="O10" s="28">
        <f>I10-N10</f>
        <v>0</v>
      </c>
    </row>
    <row r="11" spans="1:15" ht="19.5" customHeight="1">
      <c r="A11" s="16" t="s">
        <v>682</v>
      </c>
      <c r="B11" s="15" t="str">
        <f t="shared" si="0"/>
        <v>Dec 2025</v>
      </c>
      <c r="C11" s="63">
        <v>46013</v>
      </c>
      <c r="D11" s="2" t="s">
        <v>129</v>
      </c>
      <c r="E11" s="9" t="s">
        <v>130</v>
      </c>
      <c r="F11" s="9" t="s">
        <v>683</v>
      </c>
      <c r="G11" s="2">
        <v>36</v>
      </c>
      <c r="H11" s="4">
        <v>55</v>
      </c>
      <c r="I11" s="4">
        <f>G11*H11</f>
        <v>1980</v>
      </c>
      <c r="J11" s="4">
        <v>26</v>
      </c>
      <c r="K11" s="4">
        <f>G11*J11</f>
        <v>936</v>
      </c>
      <c r="L11" s="4">
        <f>I11-K11</f>
        <v>1044</v>
      </c>
      <c r="M11" s="10" t="s">
        <v>42</v>
      </c>
      <c r="N11" s="4">
        <v>0</v>
      </c>
      <c r="O11" s="29">
        <f>I11-N11</f>
        <v>1980</v>
      </c>
    </row>
    <row r="12" spans="1:15" ht="19.5" customHeight="1">
      <c r="A12" s="15" t="s">
        <v>684</v>
      </c>
      <c r="B12" s="15" t="str">
        <f t="shared" si="0"/>
        <v>Jan 2026</v>
      </c>
      <c r="C12" s="62">
        <v>46031</v>
      </c>
      <c r="D12" s="5" t="s">
        <v>158</v>
      </c>
      <c r="E12" s="8" t="s">
        <v>159</v>
      </c>
      <c r="F12" s="8" t="s">
        <v>685</v>
      </c>
      <c r="G12" s="5">
        <v>32</v>
      </c>
      <c r="H12" s="7">
        <v>28</v>
      </c>
      <c r="I12" s="7">
        <f>G12*H12</f>
        <v>896</v>
      </c>
      <c r="J12" s="7">
        <v>13</v>
      </c>
      <c r="K12" s="7">
        <f>G12*J12</f>
        <v>416</v>
      </c>
      <c r="L12" s="7">
        <f>I12-K12</f>
        <v>480</v>
      </c>
      <c r="M12" s="11" t="s">
        <v>42</v>
      </c>
      <c r="N12" s="7">
        <v>448</v>
      </c>
      <c r="O12" s="28">
        <f>I12-N12</f>
        <v>448</v>
      </c>
    </row>
    <row r="13" spans="1:15" ht="19.5" customHeight="1">
      <c r="A13" s="16" t="s">
        <v>686</v>
      </c>
      <c r="B13" s="15" t="str">
        <f t="shared" si="0"/>
        <v>Feb 2026</v>
      </c>
      <c r="C13" s="63">
        <v>46054</v>
      </c>
      <c r="D13" s="2" t="s">
        <v>263</v>
      </c>
      <c r="E13" s="9" t="s">
        <v>264</v>
      </c>
      <c r="F13" s="9" t="s">
        <v>679</v>
      </c>
      <c r="G13" s="2">
        <v>30</v>
      </c>
      <c r="H13" s="4">
        <v>95</v>
      </c>
      <c r="I13" s="4">
        <f>G13*H13</f>
        <v>2850</v>
      </c>
      <c r="J13" s="4">
        <v>46</v>
      </c>
      <c r="K13" s="4">
        <f>G13*J13</f>
        <v>1380</v>
      </c>
      <c r="L13" s="4">
        <f>I13-K13</f>
        <v>1470</v>
      </c>
      <c r="M13" s="2" t="s">
        <v>41</v>
      </c>
      <c r="N13" s="4">
        <v>2850</v>
      </c>
      <c r="O13" s="29">
        <f>I13-N13</f>
        <v>0</v>
      </c>
    </row>
    <row r="14" spans="1:15" ht="19.5" customHeight="1">
      <c r="A14" s="15" t="s">
        <v>687</v>
      </c>
      <c r="B14" s="15" t="str">
        <f t="shared" si="0"/>
        <v>Dec 2025</v>
      </c>
      <c r="C14" s="62">
        <v>46012</v>
      </c>
      <c r="D14" s="5" t="s">
        <v>293</v>
      </c>
      <c r="E14" s="8" t="s">
        <v>294</v>
      </c>
      <c r="F14" s="8" t="s">
        <v>688</v>
      </c>
      <c r="G14" s="5">
        <v>50</v>
      </c>
      <c r="H14" s="7">
        <v>165</v>
      </c>
      <c r="I14" s="7">
        <f>G14*H14</f>
        <v>8250</v>
      </c>
      <c r="J14" s="7">
        <v>80</v>
      </c>
      <c r="K14" s="7">
        <f>G14*J14</f>
        <v>4000</v>
      </c>
      <c r="L14" s="7">
        <f>I14-K14</f>
        <v>4250</v>
      </c>
      <c r="M14" s="5" t="s">
        <v>41</v>
      </c>
      <c r="N14" s="7">
        <v>8250</v>
      </c>
      <c r="O14" s="28">
        <f>I14-N14</f>
        <v>0</v>
      </c>
    </row>
    <row r="15" spans="1:15" ht="19.5" customHeight="1">
      <c r="A15" s="16" t="s">
        <v>689</v>
      </c>
      <c r="B15" s="15" t="str">
        <f t="shared" si="0"/>
        <v>Jan 2026</v>
      </c>
      <c r="C15" s="63">
        <v>46028</v>
      </c>
      <c r="D15" s="2" t="s">
        <v>251</v>
      </c>
      <c r="E15" s="9" t="s">
        <v>36</v>
      </c>
      <c r="F15" s="9" t="s">
        <v>683</v>
      </c>
      <c r="G15" s="2">
        <v>32</v>
      </c>
      <c r="H15" s="4">
        <v>85</v>
      </c>
      <c r="I15" s="4">
        <f>G15*H15</f>
        <v>2720</v>
      </c>
      <c r="J15" s="4">
        <v>41</v>
      </c>
      <c r="K15" s="4">
        <f>G15*J15</f>
        <v>1312</v>
      </c>
      <c r="L15" s="4">
        <f>I15-K15</f>
        <v>1408</v>
      </c>
      <c r="M15" s="10" t="s">
        <v>42</v>
      </c>
      <c r="N15" s="4">
        <v>1360</v>
      </c>
      <c r="O15" s="29">
        <f>I15-N15</f>
        <v>1360</v>
      </c>
    </row>
    <row r="16" spans="1:15" ht="19.5" customHeight="1">
      <c r="A16" s="15" t="s">
        <v>690</v>
      </c>
      <c r="B16" s="15" t="str">
        <f t="shared" si="0"/>
        <v>Feb 2026</v>
      </c>
      <c r="C16" s="62">
        <v>46064</v>
      </c>
      <c r="D16" s="5" t="s">
        <v>120</v>
      </c>
      <c r="E16" s="8" t="s">
        <v>121</v>
      </c>
      <c r="F16" s="8" t="s">
        <v>691</v>
      </c>
      <c r="G16" s="5">
        <v>8</v>
      </c>
      <c r="H16" s="7">
        <v>42</v>
      </c>
      <c r="I16" s="7">
        <f>G16*H16</f>
        <v>336</v>
      </c>
      <c r="J16" s="7">
        <v>20</v>
      </c>
      <c r="K16" s="7">
        <f>G16*J16</f>
        <v>160</v>
      </c>
      <c r="L16" s="7">
        <f>I16-K16</f>
        <v>176</v>
      </c>
      <c r="M16" s="5" t="s">
        <v>41</v>
      </c>
      <c r="N16" s="7">
        <v>336</v>
      </c>
      <c r="O16" s="28">
        <f>I16-N16</f>
        <v>0</v>
      </c>
    </row>
    <row r="17" spans="1:15" ht="19.5" customHeight="1">
      <c r="A17" s="16" t="s">
        <v>692</v>
      </c>
      <c r="B17" s="15" t="str">
        <f t="shared" si="0"/>
        <v>Dec 2025</v>
      </c>
      <c r="C17" s="63">
        <v>46000</v>
      </c>
      <c r="D17" s="2" t="s">
        <v>144</v>
      </c>
      <c r="E17" s="9" t="s">
        <v>38</v>
      </c>
      <c r="F17" s="9" t="s">
        <v>667</v>
      </c>
      <c r="G17" s="2">
        <v>32</v>
      </c>
      <c r="H17" s="4">
        <v>35</v>
      </c>
      <c r="I17" s="4">
        <f>G17*H17</f>
        <v>1120</v>
      </c>
      <c r="J17" s="4">
        <v>16</v>
      </c>
      <c r="K17" s="4">
        <f>G17*J17</f>
        <v>512</v>
      </c>
      <c r="L17" s="4">
        <f>I17-K17</f>
        <v>608</v>
      </c>
      <c r="M17" s="2" t="s">
        <v>41</v>
      </c>
      <c r="N17" s="4">
        <v>1120</v>
      </c>
      <c r="O17" s="29">
        <f>I17-N17</f>
        <v>0</v>
      </c>
    </row>
    <row r="18" spans="1:15" ht="19.5" customHeight="1">
      <c r="A18" s="15" t="s">
        <v>693</v>
      </c>
      <c r="B18" s="15" t="str">
        <f t="shared" si="0"/>
        <v>Jan 2026</v>
      </c>
      <c r="C18" s="62">
        <v>46045</v>
      </c>
      <c r="D18" s="5" t="s">
        <v>52</v>
      </c>
      <c r="E18" s="8" t="s">
        <v>39</v>
      </c>
      <c r="F18" s="8" t="s">
        <v>691</v>
      </c>
      <c r="G18" s="5">
        <v>36</v>
      </c>
      <c r="H18" s="7">
        <v>220</v>
      </c>
      <c r="I18" s="7">
        <f>G18*H18</f>
        <v>7920</v>
      </c>
      <c r="J18" s="7">
        <v>110</v>
      </c>
      <c r="K18" s="7">
        <f>G18*J18</f>
        <v>3960</v>
      </c>
      <c r="L18" s="7">
        <f>I18-K18</f>
        <v>3960</v>
      </c>
      <c r="M18" s="5" t="s">
        <v>41</v>
      </c>
      <c r="N18" s="7">
        <v>7920</v>
      </c>
      <c r="O18" s="28">
        <f>I18-N18</f>
        <v>0</v>
      </c>
    </row>
    <row r="19" spans="1:15" ht="19.5" customHeight="1">
      <c r="A19" s="16" t="s">
        <v>694</v>
      </c>
      <c r="B19" s="15" t="str">
        <f t="shared" si="0"/>
        <v>Dec 2025</v>
      </c>
      <c r="C19" s="63">
        <v>46011</v>
      </c>
      <c r="D19" s="2" t="s">
        <v>291</v>
      </c>
      <c r="E19" s="9" t="s">
        <v>30</v>
      </c>
      <c r="F19" s="9" t="s">
        <v>685</v>
      </c>
      <c r="G19" s="2">
        <v>23</v>
      </c>
      <c r="H19" s="4">
        <v>285</v>
      </c>
      <c r="I19" s="4">
        <f>G19*H19</f>
        <v>6555</v>
      </c>
      <c r="J19" s="4">
        <v>140</v>
      </c>
      <c r="K19" s="4">
        <f>G19*J19</f>
        <v>3220</v>
      </c>
      <c r="L19" s="4">
        <f>I19-K19</f>
        <v>3335</v>
      </c>
      <c r="M19" s="2" t="s">
        <v>41</v>
      </c>
      <c r="N19" s="4">
        <v>6555</v>
      </c>
      <c r="O19" s="29">
        <f>I19-N19</f>
        <v>0</v>
      </c>
    </row>
    <row r="20" spans="1:15" ht="19.5" customHeight="1">
      <c r="A20" s="15" t="s">
        <v>695</v>
      </c>
      <c r="B20" s="15" t="str">
        <f t="shared" si="0"/>
        <v>Jan 2026</v>
      </c>
      <c r="C20" s="62">
        <v>46025</v>
      </c>
      <c r="D20" s="5" t="s">
        <v>117</v>
      </c>
      <c r="E20" s="8" t="s">
        <v>118</v>
      </c>
      <c r="F20" s="8" t="s">
        <v>674</v>
      </c>
      <c r="G20" s="5">
        <v>6</v>
      </c>
      <c r="H20" s="7">
        <v>28</v>
      </c>
      <c r="I20" s="7">
        <f>G20*H20</f>
        <v>168</v>
      </c>
      <c r="J20" s="7">
        <v>13</v>
      </c>
      <c r="K20" s="7">
        <f>G20*J20</f>
        <v>78</v>
      </c>
      <c r="L20" s="7">
        <f>I20-K20</f>
        <v>90</v>
      </c>
      <c r="M20" s="11" t="s">
        <v>42</v>
      </c>
      <c r="N20" s="7">
        <v>0</v>
      </c>
      <c r="O20" s="28">
        <f>I20-N20</f>
        <v>168</v>
      </c>
    </row>
    <row r="21" spans="1:15" ht="19.5" customHeight="1">
      <c r="A21" s="16" t="s">
        <v>696</v>
      </c>
      <c r="B21" s="15" t="str">
        <f t="shared" si="0"/>
        <v>Dec 2025</v>
      </c>
      <c r="C21" s="63">
        <v>46012</v>
      </c>
      <c r="D21" s="2" t="s">
        <v>301</v>
      </c>
      <c r="E21" s="9" t="s">
        <v>302</v>
      </c>
      <c r="F21" s="9" t="s">
        <v>685</v>
      </c>
      <c r="G21" s="2">
        <v>45</v>
      </c>
      <c r="H21" s="4">
        <v>145</v>
      </c>
      <c r="I21" s="4">
        <f>G21*H21</f>
        <v>6525</v>
      </c>
      <c r="J21" s="4">
        <v>70</v>
      </c>
      <c r="K21" s="4">
        <f>G21*J21</f>
        <v>3150</v>
      </c>
      <c r="L21" s="4">
        <f>I21-K21</f>
        <v>3375</v>
      </c>
      <c r="M21" s="2" t="s">
        <v>41</v>
      </c>
      <c r="N21" s="4">
        <v>6525</v>
      </c>
      <c r="O21" s="29">
        <f>I21-N21</f>
        <v>0</v>
      </c>
    </row>
    <row r="22" spans="1:15" ht="19.5" customHeight="1">
      <c r="A22" s="15" t="s">
        <v>697</v>
      </c>
      <c r="B22" s="15" t="str">
        <f t="shared" si="0"/>
        <v>Dec 2025</v>
      </c>
      <c r="C22" s="62">
        <v>46000</v>
      </c>
      <c r="D22" s="5" t="s">
        <v>181</v>
      </c>
      <c r="E22" s="8" t="s">
        <v>182</v>
      </c>
      <c r="F22" s="8" t="s">
        <v>681</v>
      </c>
      <c r="G22" s="5">
        <v>46</v>
      </c>
      <c r="H22" s="7">
        <v>85</v>
      </c>
      <c r="I22" s="7">
        <f>G22*H22</f>
        <v>3910</v>
      </c>
      <c r="J22" s="7">
        <v>41</v>
      </c>
      <c r="K22" s="7">
        <f>G22*J22</f>
        <v>1886</v>
      </c>
      <c r="L22" s="7">
        <f>I22-K22</f>
        <v>2024</v>
      </c>
      <c r="M22" s="5" t="s">
        <v>41</v>
      </c>
      <c r="N22" s="7">
        <v>3910</v>
      </c>
      <c r="O22" s="28">
        <f>I22-N22</f>
        <v>0</v>
      </c>
    </row>
    <row r="23" spans="1:15" ht="19.5" customHeight="1">
      <c r="A23" s="16" t="s">
        <v>698</v>
      </c>
      <c r="B23" s="15" t="str">
        <f t="shared" si="0"/>
        <v>Dec 2025</v>
      </c>
      <c r="C23" s="63">
        <v>46007</v>
      </c>
      <c r="D23" s="2" t="s">
        <v>104</v>
      </c>
      <c r="E23" s="9" t="s">
        <v>34</v>
      </c>
      <c r="F23" s="9" t="s">
        <v>699</v>
      </c>
      <c r="G23" s="2">
        <v>30</v>
      </c>
      <c r="H23" s="4">
        <v>180</v>
      </c>
      <c r="I23" s="4">
        <f>G23*H23</f>
        <v>5400</v>
      </c>
      <c r="J23" s="4">
        <v>88</v>
      </c>
      <c r="K23" s="4">
        <f>G23*J23</f>
        <v>2640</v>
      </c>
      <c r="L23" s="4">
        <f>I23-K23</f>
        <v>2760</v>
      </c>
      <c r="M23" s="2" t="s">
        <v>41</v>
      </c>
      <c r="N23" s="4">
        <v>5400</v>
      </c>
      <c r="O23" s="29">
        <f>I23-N23</f>
        <v>0</v>
      </c>
    </row>
    <row r="24" spans="1:15" ht="19.5" customHeight="1">
      <c r="A24" s="15" t="s">
        <v>700</v>
      </c>
      <c r="B24" s="15" t="str">
        <f t="shared" si="0"/>
        <v>Jan 2026</v>
      </c>
      <c r="C24" s="62">
        <v>46049</v>
      </c>
      <c r="D24" s="5" t="s">
        <v>243</v>
      </c>
      <c r="E24" s="8" t="s">
        <v>244</v>
      </c>
      <c r="F24" s="8" t="s">
        <v>701</v>
      </c>
      <c r="G24" s="5">
        <v>4</v>
      </c>
      <c r="H24" s="7">
        <v>185</v>
      </c>
      <c r="I24" s="7">
        <f>G24*H24</f>
        <v>740</v>
      </c>
      <c r="J24" s="7">
        <v>90</v>
      </c>
      <c r="K24" s="7">
        <f>G24*J24</f>
        <v>360</v>
      </c>
      <c r="L24" s="7">
        <f>I24-K24</f>
        <v>380</v>
      </c>
      <c r="M24" s="5" t="s">
        <v>41</v>
      </c>
      <c r="N24" s="7">
        <v>740</v>
      </c>
      <c r="O24" s="28">
        <f>I24-N24</f>
        <v>0</v>
      </c>
    </row>
    <row r="25" spans="1:15" ht="19.5" customHeight="1">
      <c r="A25" s="16" t="s">
        <v>702</v>
      </c>
      <c r="B25" s="15" t="str">
        <f t="shared" si="0"/>
        <v>Dec 2025</v>
      </c>
      <c r="C25" s="63">
        <v>46022</v>
      </c>
      <c r="D25" s="2" t="s">
        <v>303</v>
      </c>
      <c r="E25" s="9" t="s">
        <v>304</v>
      </c>
      <c r="F25" s="9" t="s">
        <v>667</v>
      </c>
      <c r="G25" s="2">
        <v>16</v>
      </c>
      <c r="H25" s="4">
        <v>155</v>
      </c>
      <c r="I25" s="4">
        <f>G25*H25</f>
        <v>2480</v>
      </c>
      <c r="J25" s="4">
        <v>75</v>
      </c>
      <c r="K25" s="4">
        <f>G25*J25</f>
        <v>1200</v>
      </c>
      <c r="L25" s="4">
        <f>I25-K25</f>
        <v>1280</v>
      </c>
      <c r="M25" s="2" t="s">
        <v>41</v>
      </c>
      <c r="N25" s="4">
        <v>2480</v>
      </c>
      <c r="O25" s="29">
        <f>I25-N25</f>
        <v>0</v>
      </c>
    </row>
    <row r="26" spans="1:15" ht="19.5" customHeight="1">
      <c r="A26" s="15" t="s">
        <v>703</v>
      </c>
      <c r="B26" s="15" t="str">
        <f t="shared" si="0"/>
        <v>Jan 2026</v>
      </c>
      <c r="C26" s="62">
        <v>46050</v>
      </c>
      <c r="D26" s="5" t="s">
        <v>148</v>
      </c>
      <c r="E26" s="8" t="s">
        <v>149</v>
      </c>
      <c r="F26" s="8" t="s">
        <v>701</v>
      </c>
      <c r="G26" s="5">
        <v>29</v>
      </c>
      <c r="H26" s="7">
        <v>45</v>
      </c>
      <c r="I26" s="7">
        <f>G26*H26</f>
        <v>1305</v>
      </c>
      <c r="J26" s="7">
        <v>21</v>
      </c>
      <c r="K26" s="7">
        <f>G26*J26</f>
        <v>609</v>
      </c>
      <c r="L26" s="7">
        <f>I26-K26</f>
        <v>696</v>
      </c>
      <c r="M26" s="5" t="s">
        <v>41</v>
      </c>
      <c r="N26" s="7">
        <v>1305</v>
      </c>
      <c r="O26" s="28">
        <f>I26-N26</f>
        <v>0</v>
      </c>
    </row>
    <row r="27" spans="1:15" ht="19.5" customHeight="1">
      <c r="A27" s="16" t="s">
        <v>704</v>
      </c>
      <c r="B27" s="15" t="str">
        <f t="shared" si="0"/>
        <v>Jan 2026</v>
      </c>
      <c r="C27" s="63">
        <v>46032</v>
      </c>
      <c r="D27" s="2" t="s">
        <v>226</v>
      </c>
      <c r="E27" s="9" t="s">
        <v>227</v>
      </c>
      <c r="F27" s="9" t="s">
        <v>681</v>
      </c>
      <c r="G27" s="2">
        <v>36</v>
      </c>
      <c r="H27" s="4">
        <v>85</v>
      </c>
      <c r="I27" s="4">
        <f>G27*H27</f>
        <v>3060</v>
      </c>
      <c r="J27" s="4">
        <v>41</v>
      </c>
      <c r="K27" s="4">
        <f>G27*J27</f>
        <v>1476</v>
      </c>
      <c r="L27" s="4">
        <f>I27-K27</f>
        <v>1584</v>
      </c>
      <c r="M27" s="2" t="s">
        <v>41</v>
      </c>
      <c r="N27" s="4">
        <v>3060</v>
      </c>
      <c r="O27" s="29">
        <f>I27-N27</f>
        <v>0</v>
      </c>
    </row>
    <row r="28" spans="1:15" ht="19.5" customHeight="1">
      <c r="A28" s="15" t="s">
        <v>705</v>
      </c>
      <c r="B28" s="15" t="str">
        <f t="shared" si="0"/>
        <v>Feb 2026</v>
      </c>
      <c r="C28" s="62">
        <v>46066</v>
      </c>
      <c r="D28" s="5" t="s">
        <v>289</v>
      </c>
      <c r="E28" s="8" t="s">
        <v>290</v>
      </c>
      <c r="F28" s="8" t="s">
        <v>679</v>
      </c>
      <c r="G28" s="5">
        <v>25</v>
      </c>
      <c r="H28" s="7">
        <v>145</v>
      </c>
      <c r="I28" s="7">
        <f>G28*H28</f>
        <v>3625</v>
      </c>
      <c r="J28" s="7">
        <v>70</v>
      </c>
      <c r="K28" s="7">
        <f>G28*J28</f>
        <v>1750</v>
      </c>
      <c r="L28" s="7">
        <f>I28-K28</f>
        <v>1875</v>
      </c>
      <c r="M28" s="11" t="s">
        <v>42</v>
      </c>
      <c r="N28" s="7">
        <v>0</v>
      </c>
      <c r="O28" s="28">
        <f>I28-N28</f>
        <v>3625</v>
      </c>
    </row>
    <row r="29" spans="1:15" ht="19.5" customHeight="1">
      <c r="A29" s="16" t="s">
        <v>706</v>
      </c>
      <c r="B29" s="15" t="str">
        <f t="shared" si="0"/>
        <v>Mar 2026</v>
      </c>
      <c r="C29" s="63">
        <v>46084</v>
      </c>
      <c r="D29" s="2" t="s">
        <v>144</v>
      </c>
      <c r="E29" s="9" t="s">
        <v>38</v>
      </c>
      <c r="F29" s="9" t="s">
        <v>672</v>
      </c>
      <c r="G29" s="2">
        <v>15</v>
      </c>
      <c r="H29" s="4">
        <v>35</v>
      </c>
      <c r="I29" s="4">
        <f>G29*H29</f>
        <v>525</v>
      </c>
      <c r="J29" s="4">
        <v>16</v>
      </c>
      <c r="K29" s="4">
        <f>G29*J29</f>
        <v>240</v>
      </c>
      <c r="L29" s="4">
        <f>I29-K29</f>
        <v>285</v>
      </c>
      <c r="M29" s="10" t="s">
        <v>42</v>
      </c>
      <c r="N29" s="4">
        <v>262</v>
      </c>
      <c r="O29" s="29">
        <f>I29-N29</f>
        <v>263</v>
      </c>
    </row>
    <row r="30" spans="1:15" ht="19.5" customHeight="1">
      <c r="A30" s="15" t="s">
        <v>707</v>
      </c>
      <c r="B30" s="15" t="str">
        <f t="shared" si="0"/>
        <v>Feb 2026</v>
      </c>
      <c r="C30" s="62">
        <v>46067</v>
      </c>
      <c r="D30" s="5" t="s">
        <v>152</v>
      </c>
      <c r="E30" s="8" t="s">
        <v>153</v>
      </c>
      <c r="F30" s="8" t="s">
        <v>708</v>
      </c>
      <c r="G30" s="5">
        <v>17</v>
      </c>
      <c r="H30" s="7">
        <v>28</v>
      </c>
      <c r="I30" s="7">
        <f>G30*H30</f>
        <v>476</v>
      </c>
      <c r="J30" s="7">
        <v>13</v>
      </c>
      <c r="K30" s="7">
        <f>G30*J30</f>
        <v>221</v>
      </c>
      <c r="L30" s="7">
        <f>I30-K30</f>
        <v>255</v>
      </c>
      <c r="M30" s="5" t="s">
        <v>41</v>
      </c>
      <c r="N30" s="7">
        <v>476</v>
      </c>
      <c r="O30" s="28">
        <f>I30-N30</f>
        <v>0</v>
      </c>
    </row>
    <row r="31" spans="1:15" ht="19.5" customHeight="1">
      <c r="A31" s="16" t="s">
        <v>709</v>
      </c>
      <c r="B31" s="15" t="str">
        <f t="shared" si="0"/>
        <v>Jan 2026</v>
      </c>
      <c r="C31" s="63">
        <v>46045</v>
      </c>
      <c r="D31" s="2" t="s">
        <v>252</v>
      </c>
      <c r="E31" s="9" t="s">
        <v>253</v>
      </c>
      <c r="F31" s="9" t="s">
        <v>701</v>
      </c>
      <c r="G31" s="2">
        <v>24</v>
      </c>
      <c r="H31" s="4">
        <v>55</v>
      </c>
      <c r="I31" s="4">
        <f>G31*H31</f>
        <v>1320</v>
      </c>
      <c r="J31" s="4">
        <v>26</v>
      </c>
      <c r="K31" s="4">
        <f>G31*J31</f>
        <v>624</v>
      </c>
      <c r="L31" s="4">
        <f>I31-K31</f>
        <v>696</v>
      </c>
      <c r="M31" s="2" t="s">
        <v>41</v>
      </c>
      <c r="N31" s="4">
        <v>1320</v>
      </c>
      <c r="O31" s="29">
        <f>I31-N31</f>
        <v>0</v>
      </c>
    </row>
    <row r="32" spans="1:15" ht="19.5" customHeight="1">
      <c r="A32" s="15" t="s">
        <v>710</v>
      </c>
      <c r="B32" s="15" t="str">
        <f t="shared" si="0"/>
        <v>Dec 2025</v>
      </c>
      <c r="C32" s="62">
        <v>46002</v>
      </c>
      <c r="D32" s="5" t="s">
        <v>291</v>
      </c>
      <c r="E32" s="8" t="s">
        <v>30</v>
      </c>
      <c r="F32" s="8" t="s">
        <v>685</v>
      </c>
      <c r="G32" s="5">
        <v>33</v>
      </c>
      <c r="H32" s="7">
        <v>285</v>
      </c>
      <c r="I32" s="7">
        <f>G32*H32</f>
        <v>9405</v>
      </c>
      <c r="J32" s="7">
        <v>140</v>
      </c>
      <c r="K32" s="7">
        <f>G32*J32</f>
        <v>4620</v>
      </c>
      <c r="L32" s="7">
        <f>I32-K32</f>
        <v>4785</v>
      </c>
      <c r="M32" s="11" t="s">
        <v>42</v>
      </c>
      <c r="N32" s="7">
        <v>0</v>
      </c>
      <c r="O32" s="28">
        <f>I32-N32</f>
        <v>9405</v>
      </c>
    </row>
    <row r="33" spans="1:15" ht="19.5" customHeight="1">
      <c r="A33" s="16" t="s">
        <v>711</v>
      </c>
      <c r="B33" s="15" t="str">
        <f t="shared" si="0"/>
        <v>Jan 2026</v>
      </c>
      <c r="C33" s="63">
        <v>46035</v>
      </c>
      <c r="D33" s="2" t="s">
        <v>106</v>
      </c>
      <c r="E33" s="9" t="s">
        <v>33</v>
      </c>
      <c r="F33" s="9" t="s">
        <v>712</v>
      </c>
      <c r="G33" s="2">
        <v>44</v>
      </c>
      <c r="H33" s="4">
        <v>95</v>
      </c>
      <c r="I33" s="4">
        <f>G33*H33</f>
        <v>4180</v>
      </c>
      <c r="J33" s="4">
        <v>46</v>
      </c>
      <c r="K33" s="4">
        <f>G33*J33</f>
        <v>2024</v>
      </c>
      <c r="L33" s="4">
        <f>I33-K33</f>
        <v>2156</v>
      </c>
      <c r="M33" s="10" t="s">
        <v>42</v>
      </c>
      <c r="N33" s="4">
        <v>2090</v>
      </c>
      <c r="O33" s="29">
        <f>I33-N33</f>
        <v>2090</v>
      </c>
    </row>
    <row r="34" spans="1:15" ht="19.5" customHeight="1">
      <c r="A34" s="15" t="s">
        <v>713</v>
      </c>
      <c r="B34" s="15" t="str">
        <f t="shared" si="0"/>
        <v>Jan 2026</v>
      </c>
      <c r="C34" s="62">
        <v>46034</v>
      </c>
      <c r="D34" s="5" t="s">
        <v>215</v>
      </c>
      <c r="E34" s="8" t="s">
        <v>216</v>
      </c>
      <c r="F34" s="8" t="s">
        <v>674</v>
      </c>
      <c r="G34" s="5">
        <v>7</v>
      </c>
      <c r="H34" s="7">
        <v>35</v>
      </c>
      <c r="I34" s="7">
        <f>G34*H34</f>
        <v>245</v>
      </c>
      <c r="J34" s="7">
        <v>17</v>
      </c>
      <c r="K34" s="7">
        <f>G34*J34</f>
        <v>119</v>
      </c>
      <c r="L34" s="7">
        <f>I34-K34</f>
        <v>126</v>
      </c>
      <c r="M34" s="5" t="s">
        <v>41</v>
      </c>
      <c r="N34" s="7">
        <v>245</v>
      </c>
      <c r="O34" s="28">
        <f>I34-N34</f>
        <v>0</v>
      </c>
    </row>
    <row r="35" spans="1:15" ht="19.5" customHeight="1">
      <c r="A35" s="16" t="s">
        <v>714</v>
      </c>
      <c r="B35" s="15" t="str">
        <f t="shared" si="0"/>
        <v>Jan 2026</v>
      </c>
      <c r="C35" s="63">
        <v>46029</v>
      </c>
      <c r="D35" s="2" t="s">
        <v>154</v>
      </c>
      <c r="E35" s="9" t="s">
        <v>155</v>
      </c>
      <c r="F35" s="9" t="s">
        <v>699</v>
      </c>
      <c r="G35" s="2">
        <v>5</v>
      </c>
      <c r="H35" s="4">
        <v>85</v>
      </c>
      <c r="I35" s="4">
        <f>G35*H35</f>
        <v>425</v>
      </c>
      <c r="J35" s="4">
        <v>41</v>
      </c>
      <c r="K35" s="4">
        <f>G35*J35</f>
        <v>205</v>
      </c>
      <c r="L35" s="4">
        <f>I35-K35</f>
        <v>220</v>
      </c>
      <c r="M35" s="10" t="s">
        <v>42</v>
      </c>
      <c r="N35" s="4">
        <v>0</v>
      </c>
      <c r="O35" s="29">
        <f>I35-N35</f>
        <v>425</v>
      </c>
    </row>
    <row r="36" spans="1:15" ht="19.5" customHeight="1">
      <c r="A36" s="15" t="s">
        <v>715</v>
      </c>
      <c r="B36" s="15" t="str">
        <f t="shared" si="0"/>
        <v>Mar 2026</v>
      </c>
      <c r="C36" s="62">
        <v>46085</v>
      </c>
      <c r="D36" s="5" t="s">
        <v>196</v>
      </c>
      <c r="E36" s="8" t="s">
        <v>197</v>
      </c>
      <c r="F36" s="8" t="s">
        <v>672</v>
      </c>
      <c r="G36" s="5">
        <v>39</v>
      </c>
      <c r="H36" s="7">
        <v>185</v>
      </c>
      <c r="I36" s="7">
        <f>G36*H36</f>
        <v>7215</v>
      </c>
      <c r="J36" s="7">
        <v>90</v>
      </c>
      <c r="K36" s="7">
        <f>G36*J36</f>
        <v>3510</v>
      </c>
      <c r="L36" s="7">
        <f>I36-K36</f>
        <v>3705</v>
      </c>
      <c r="M36" s="5" t="s">
        <v>41</v>
      </c>
      <c r="N36" s="7">
        <v>7215</v>
      </c>
      <c r="O36" s="28">
        <f>I36-N36</f>
        <v>0</v>
      </c>
    </row>
    <row r="37" spans="1:15" ht="19.5" customHeight="1">
      <c r="A37" s="16" t="s">
        <v>716</v>
      </c>
      <c r="B37" s="15" t="str">
        <f t="shared" si="0"/>
        <v>Jan 2026</v>
      </c>
      <c r="C37" s="63">
        <v>46039</v>
      </c>
      <c r="D37" s="2" t="s">
        <v>144</v>
      </c>
      <c r="E37" s="9" t="s">
        <v>38</v>
      </c>
      <c r="F37" s="9" t="s">
        <v>683</v>
      </c>
      <c r="G37" s="2">
        <v>35</v>
      </c>
      <c r="H37" s="4">
        <v>35</v>
      </c>
      <c r="I37" s="4">
        <f>G37*H37</f>
        <v>1225</v>
      </c>
      <c r="J37" s="4">
        <v>16</v>
      </c>
      <c r="K37" s="4">
        <f>G37*J37</f>
        <v>560</v>
      </c>
      <c r="L37" s="4">
        <f>I37-K37</f>
        <v>665</v>
      </c>
      <c r="M37" s="2" t="s">
        <v>41</v>
      </c>
      <c r="N37" s="4">
        <v>1225</v>
      </c>
      <c r="O37" s="29">
        <f>I37-N37</f>
        <v>0</v>
      </c>
    </row>
    <row r="38" spans="1:15" ht="19.5" customHeight="1">
      <c r="A38" s="15" t="s">
        <v>717</v>
      </c>
      <c r="B38" s="15" t="str">
        <f t="shared" si="0"/>
        <v>Dec 2025</v>
      </c>
      <c r="C38" s="62">
        <v>46007</v>
      </c>
      <c r="D38" s="5" t="s">
        <v>106</v>
      </c>
      <c r="E38" s="8" t="s">
        <v>33</v>
      </c>
      <c r="F38" s="8" t="s">
        <v>701</v>
      </c>
      <c r="G38" s="5">
        <v>5</v>
      </c>
      <c r="H38" s="7">
        <v>95</v>
      </c>
      <c r="I38" s="7">
        <f>G38*H38</f>
        <v>475</v>
      </c>
      <c r="J38" s="7">
        <v>46</v>
      </c>
      <c r="K38" s="7">
        <f>G38*J38</f>
        <v>230</v>
      </c>
      <c r="L38" s="7">
        <f>I38-K38</f>
        <v>245</v>
      </c>
      <c r="M38" s="11" t="s">
        <v>42</v>
      </c>
      <c r="N38" s="7">
        <v>237</v>
      </c>
      <c r="O38" s="28">
        <f>I38-N38</f>
        <v>238</v>
      </c>
    </row>
    <row r="39" spans="1:15" ht="19.5" customHeight="1">
      <c r="A39" s="16" t="s">
        <v>718</v>
      </c>
      <c r="B39" s="15" t="str">
        <f t="shared" si="0"/>
        <v>Dec 2025</v>
      </c>
      <c r="C39" s="63">
        <v>46008</v>
      </c>
      <c r="D39" s="2" t="s">
        <v>277</v>
      </c>
      <c r="E39" s="9" t="s">
        <v>278</v>
      </c>
      <c r="F39" s="9" t="s">
        <v>719</v>
      </c>
      <c r="G39" s="2">
        <v>17</v>
      </c>
      <c r="H39" s="4">
        <v>95</v>
      </c>
      <c r="I39" s="4">
        <f>G39*H39</f>
        <v>1615</v>
      </c>
      <c r="J39" s="4">
        <v>46</v>
      </c>
      <c r="K39" s="4">
        <f>G39*J39</f>
        <v>782</v>
      </c>
      <c r="L39" s="4">
        <f>I39-K39</f>
        <v>833</v>
      </c>
      <c r="M39" s="10" t="s">
        <v>42</v>
      </c>
      <c r="N39" s="4">
        <v>807</v>
      </c>
      <c r="O39" s="29">
        <f>I39-N39</f>
        <v>808</v>
      </c>
    </row>
    <row r="40" spans="1:15" ht="19.5" customHeight="1">
      <c r="A40" s="15" t="s">
        <v>720</v>
      </c>
      <c r="B40" s="15" t="str">
        <f t="shared" si="0"/>
        <v>Jan 2026</v>
      </c>
      <c r="C40" s="62">
        <v>46026</v>
      </c>
      <c r="D40" s="5" t="s">
        <v>136</v>
      </c>
      <c r="E40" s="8" t="s">
        <v>37</v>
      </c>
      <c r="F40" s="8" t="s">
        <v>719</v>
      </c>
      <c r="G40" s="5">
        <v>8</v>
      </c>
      <c r="H40" s="7">
        <v>38</v>
      </c>
      <c r="I40" s="7">
        <f>G40*H40</f>
        <v>304</v>
      </c>
      <c r="J40" s="7">
        <v>18</v>
      </c>
      <c r="K40" s="7">
        <f>G40*J40</f>
        <v>144</v>
      </c>
      <c r="L40" s="7">
        <f>I40-K40</f>
        <v>160</v>
      </c>
      <c r="M40" s="11" t="s">
        <v>42</v>
      </c>
      <c r="N40" s="7">
        <v>152</v>
      </c>
      <c r="O40" s="28">
        <f>I40-N40</f>
        <v>152</v>
      </c>
    </row>
    <row r="41" spans="1:15" ht="19.5" customHeight="1">
      <c r="A41" s="16" t="s">
        <v>721</v>
      </c>
      <c r="B41" s="15" t="str">
        <f t="shared" si="0"/>
        <v>Jan 2026</v>
      </c>
      <c r="C41" s="63">
        <v>46042</v>
      </c>
      <c r="D41" s="2" t="s">
        <v>188</v>
      </c>
      <c r="E41" s="9" t="s">
        <v>189</v>
      </c>
      <c r="F41" s="9" t="s">
        <v>722</v>
      </c>
      <c r="G41" s="2">
        <v>6</v>
      </c>
      <c r="H41" s="4">
        <v>28</v>
      </c>
      <c r="I41" s="4">
        <f>G41*H41</f>
        <v>168</v>
      </c>
      <c r="J41" s="4">
        <v>13</v>
      </c>
      <c r="K41" s="4">
        <f>G41*J41</f>
        <v>78</v>
      </c>
      <c r="L41" s="4">
        <f>I41-K41</f>
        <v>90</v>
      </c>
      <c r="M41" s="2" t="s">
        <v>41</v>
      </c>
      <c r="N41" s="4">
        <v>168</v>
      </c>
      <c r="O41" s="29">
        <f>I41-N41</f>
        <v>0</v>
      </c>
    </row>
    <row r="42" spans="1:15" ht="19.5" customHeight="1">
      <c r="A42" s="15" t="s">
        <v>723</v>
      </c>
      <c r="B42" s="15" t="str">
        <f t="shared" si="0"/>
        <v>Mar 2026</v>
      </c>
      <c r="C42" s="62">
        <v>46083</v>
      </c>
      <c r="D42" s="5" t="s">
        <v>240</v>
      </c>
      <c r="E42" s="8" t="s">
        <v>32</v>
      </c>
      <c r="F42" s="8" t="s">
        <v>724</v>
      </c>
      <c r="G42" s="5">
        <v>45</v>
      </c>
      <c r="H42" s="7">
        <v>165</v>
      </c>
      <c r="I42" s="7">
        <f>G42*H42</f>
        <v>7425</v>
      </c>
      <c r="J42" s="7">
        <v>80</v>
      </c>
      <c r="K42" s="7">
        <f>G42*J42</f>
        <v>3600</v>
      </c>
      <c r="L42" s="7">
        <f>I42-K42</f>
        <v>3825</v>
      </c>
      <c r="M42" s="5" t="s">
        <v>41</v>
      </c>
      <c r="N42" s="7">
        <v>7425</v>
      </c>
      <c r="O42" s="28">
        <f>I42-N42</f>
        <v>0</v>
      </c>
    </row>
    <row r="43" spans="1:15" ht="19.5" customHeight="1">
      <c r="A43" s="16" t="s">
        <v>725</v>
      </c>
      <c r="B43" s="15" t="str">
        <f t="shared" si="0"/>
        <v>Dec 2025</v>
      </c>
      <c r="C43" s="63">
        <v>46016</v>
      </c>
      <c r="D43" s="2" t="s">
        <v>251</v>
      </c>
      <c r="E43" s="9" t="s">
        <v>36</v>
      </c>
      <c r="F43" s="9" t="s">
        <v>726</v>
      </c>
      <c r="G43" s="2">
        <v>24</v>
      </c>
      <c r="H43" s="4">
        <v>85</v>
      </c>
      <c r="I43" s="4">
        <f>G43*H43</f>
        <v>2040</v>
      </c>
      <c r="J43" s="4">
        <v>41</v>
      </c>
      <c r="K43" s="4">
        <f>G43*J43</f>
        <v>984</v>
      </c>
      <c r="L43" s="4">
        <f>I43-K43</f>
        <v>1056</v>
      </c>
      <c r="M43" s="2" t="s">
        <v>41</v>
      </c>
      <c r="N43" s="4">
        <v>2040</v>
      </c>
      <c r="O43" s="29">
        <f>I43-N43</f>
        <v>0</v>
      </c>
    </row>
    <row r="44" spans="1:15" ht="19.5" customHeight="1">
      <c r="A44" s="15" t="s">
        <v>727</v>
      </c>
      <c r="B44" s="15" t="str">
        <f t="shared" si="0"/>
        <v>Dec 2025</v>
      </c>
      <c r="C44" s="62">
        <v>46003</v>
      </c>
      <c r="D44" s="5" t="s">
        <v>52</v>
      </c>
      <c r="E44" s="8" t="s">
        <v>39</v>
      </c>
      <c r="F44" s="8" t="s">
        <v>667</v>
      </c>
      <c r="G44" s="5">
        <v>34</v>
      </c>
      <c r="H44" s="7">
        <v>220</v>
      </c>
      <c r="I44" s="7">
        <f>G44*H44</f>
        <v>7480</v>
      </c>
      <c r="J44" s="7">
        <v>110</v>
      </c>
      <c r="K44" s="7">
        <f>G44*J44</f>
        <v>3740</v>
      </c>
      <c r="L44" s="7">
        <f>I44-K44</f>
        <v>3740</v>
      </c>
      <c r="M44" s="5" t="s">
        <v>41</v>
      </c>
      <c r="N44" s="7">
        <v>7480</v>
      </c>
      <c r="O44" s="28">
        <f>I44-N44</f>
        <v>0</v>
      </c>
    </row>
    <row r="45" spans="1:15" ht="19.5" customHeight="1">
      <c r="A45" s="16" t="s">
        <v>728</v>
      </c>
      <c r="B45" s="15" t="str">
        <f t="shared" si="0"/>
        <v>Feb 2026</v>
      </c>
      <c r="C45" s="63">
        <v>46064</v>
      </c>
      <c r="D45" s="2" t="s">
        <v>293</v>
      </c>
      <c r="E45" s="9" t="s">
        <v>294</v>
      </c>
      <c r="F45" s="9" t="s">
        <v>681</v>
      </c>
      <c r="G45" s="2">
        <v>17</v>
      </c>
      <c r="H45" s="4">
        <v>165</v>
      </c>
      <c r="I45" s="4">
        <f>G45*H45</f>
        <v>2805</v>
      </c>
      <c r="J45" s="4">
        <v>80</v>
      </c>
      <c r="K45" s="4">
        <f>G45*J45</f>
        <v>1360</v>
      </c>
      <c r="L45" s="4">
        <f>I45-K45</f>
        <v>1445</v>
      </c>
      <c r="M45" s="2" t="s">
        <v>41</v>
      </c>
      <c r="N45" s="4">
        <v>2805</v>
      </c>
      <c r="O45" s="29">
        <f>I45-N45</f>
        <v>0</v>
      </c>
    </row>
    <row r="46" spans="1:15" ht="19.5" customHeight="1">
      <c r="A46" s="15" t="s">
        <v>729</v>
      </c>
      <c r="B46" s="15" t="str">
        <f t="shared" si="0"/>
        <v>Dec 2025</v>
      </c>
      <c r="C46" s="62">
        <v>46021</v>
      </c>
      <c r="D46" s="5" t="s">
        <v>104</v>
      </c>
      <c r="E46" s="8" t="s">
        <v>34</v>
      </c>
      <c r="F46" s="8" t="s">
        <v>691</v>
      </c>
      <c r="G46" s="5">
        <v>15</v>
      </c>
      <c r="H46" s="7">
        <v>180</v>
      </c>
      <c r="I46" s="7">
        <f>G46*H46</f>
        <v>2700</v>
      </c>
      <c r="J46" s="7">
        <v>88</v>
      </c>
      <c r="K46" s="7">
        <f>G46*J46</f>
        <v>1320</v>
      </c>
      <c r="L46" s="7">
        <f>I46-K46</f>
        <v>1380</v>
      </c>
      <c r="M46" s="5" t="s">
        <v>41</v>
      </c>
      <c r="N46" s="7">
        <v>2700</v>
      </c>
      <c r="O46" s="28">
        <f>I46-N46</f>
        <v>0</v>
      </c>
    </row>
    <row r="47" spans="1:15" ht="19.5" customHeight="1">
      <c r="A47" s="16" t="s">
        <v>730</v>
      </c>
      <c r="B47" s="15" t="str">
        <f t="shared" si="0"/>
        <v>Feb 2026</v>
      </c>
      <c r="C47" s="63">
        <v>46061</v>
      </c>
      <c r="D47" s="2" t="s">
        <v>277</v>
      </c>
      <c r="E47" s="9" t="s">
        <v>278</v>
      </c>
      <c r="F47" s="9" t="s">
        <v>731</v>
      </c>
      <c r="G47" s="2">
        <v>15</v>
      </c>
      <c r="H47" s="4">
        <v>95</v>
      </c>
      <c r="I47" s="4">
        <f>G47*H47</f>
        <v>1425</v>
      </c>
      <c r="J47" s="4">
        <v>46</v>
      </c>
      <c r="K47" s="4">
        <f>G47*J47</f>
        <v>690</v>
      </c>
      <c r="L47" s="4">
        <f>I47-K47</f>
        <v>735</v>
      </c>
      <c r="M47" s="2" t="s">
        <v>41</v>
      </c>
      <c r="N47" s="4">
        <v>1425</v>
      </c>
      <c r="O47" s="29">
        <f>I47-N47</f>
        <v>0</v>
      </c>
    </row>
    <row r="48" spans="1:15" ht="19.5" customHeight="1">
      <c r="A48" s="15" t="s">
        <v>732</v>
      </c>
      <c r="B48" s="15" t="str">
        <f t="shared" si="0"/>
        <v>Feb 2026</v>
      </c>
      <c r="C48" s="62">
        <v>46060</v>
      </c>
      <c r="D48" s="5" t="s">
        <v>217</v>
      </c>
      <c r="E48" s="8" t="s">
        <v>35</v>
      </c>
      <c r="F48" s="8" t="s">
        <v>681</v>
      </c>
      <c r="G48" s="5">
        <v>48</v>
      </c>
      <c r="H48" s="7">
        <v>45</v>
      </c>
      <c r="I48" s="7">
        <f>G48*H48</f>
        <v>2160</v>
      </c>
      <c r="J48" s="7">
        <v>21</v>
      </c>
      <c r="K48" s="7">
        <f>G48*J48</f>
        <v>1008</v>
      </c>
      <c r="L48" s="7">
        <f>I48-K48</f>
        <v>1152</v>
      </c>
      <c r="M48" s="11" t="s">
        <v>42</v>
      </c>
      <c r="N48" s="7">
        <v>1080</v>
      </c>
      <c r="O48" s="28">
        <f>I48-N48</f>
        <v>1080</v>
      </c>
    </row>
    <row r="49" spans="1:15" ht="19.5" customHeight="1">
      <c r="A49" s="16" t="s">
        <v>733</v>
      </c>
      <c r="B49" s="15" t="str">
        <f t="shared" si="0"/>
        <v>Jan 2026</v>
      </c>
      <c r="C49" s="63">
        <v>46050</v>
      </c>
      <c r="D49" s="2" t="s">
        <v>301</v>
      </c>
      <c r="E49" s="9" t="s">
        <v>302</v>
      </c>
      <c r="F49" s="9" t="s">
        <v>722</v>
      </c>
      <c r="G49" s="2">
        <v>2</v>
      </c>
      <c r="H49" s="4">
        <v>145</v>
      </c>
      <c r="I49" s="4">
        <f>G49*H49</f>
        <v>290</v>
      </c>
      <c r="J49" s="4">
        <v>70</v>
      </c>
      <c r="K49" s="4">
        <f>G49*J49</f>
        <v>140</v>
      </c>
      <c r="L49" s="4">
        <f>I49-K49</f>
        <v>150</v>
      </c>
      <c r="M49" s="10" t="s">
        <v>42</v>
      </c>
      <c r="N49" s="4">
        <v>145</v>
      </c>
      <c r="O49" s="29">
        <f>I49-N49</f>
        <v>145</v>
      </c>
    </row>
    <row r="50" spans="1:15" ht="19.5" customHeight="1">
      <c r="A50" s="15" t="s">
        <v>734</v>
      </c>
      <c r="B50" s="15" t="str">
        <f t="shared" si="0"/>
        <v>Jan 2026</v>
      </c>
      <c r="C50" s="62">
        <v>46041</v>
      </c>
      <c r="D50" s="5" t="s">
        <v>154</v>
      </c>
      <c r="E50" s="8" t="s">
        <v>155</v>
      </c>
      <c r="F50" s="8" t="s">
        <v>685</v>
      </c>
      <c r="G50" s="5">
        <v>45</v>
      </c>
      <c r="H50" s="7">
        <v>85</v>
      </c>
      <c r="I50" s="7">
        <f>G50*H50</f>
        <v>3825</v>
      </c>
      <c r="J50" s="7">
        <v>41</v>
      </c>
      <c r="K50" s="7">
        <f>G50*J50</f>
        <v>1845</v>
      </c>
      <c r="L50" s="7">
        <f>I50-K50</f>
        <v>1980</v>
      </c>
      <c r="M50" s="5" t="s">
        <v>41</v>
      </c>
      <c r="N50" s="7">
        <v>3825</v>
      </c>
      <c r="O50" s="28">
        <f>I50-N50</f>
        <v>0</v>
      </c>
    </row>
    <row r="51" spans="1:15" ht="19.5" customHeight="1">
      <c r="A51" s="16" t="s">
        <v>735</v>
      </c>
      <c r="B51" s="15" t="str">
        <f t="shared" si="0"/>
        <v>Jan 2026</v>
      </c>
      <c r="C51" s="63">
        <v>46039</v>
      </c>
      <c r="D51" s="2" t="s">
        <v>299</v>
      </c>
      <c r="E51" s="9" t="s">
        <v>300</v>
      </c>
      <c r="F51" s="9" t="s">
        <v>731</v>
      </c>
      <c r="G51" s="2">
        <v>23</v>
      </c>
      <c r="H51" s="4">
        <v>185</v>
      </c>
      <c r="I51" s="4">
        <f>G51*H51</f>
        <v>4255</v>
      </c>
      <c r="J51" s="4">
        <v>90</v>
      </c>
      <c r="K51" s="4">
        <f>G51*J51</f>
        <v>2070</v>
      </c>
      <c r="L51" s="4">
        <f>I51-K51</f>
        <v>2185</v>
      </c>
      <c r="M51" s="10" t="s">
        <v>42</v>
      </c>
      <c r="N51" s="4">
        <v>0</v>
      </c>
      <c r="O51" s="29">
        <f>I51-N51</f>
        <v>4255</v>
      </c>
    </row>
    <row r="52" spans="1:15" ht="19.5" customHeight="1">
      <c r="A52" s="15" t="s">
        <v>736</v>
      </c>
      <c r="B52" s="15" t="str">
        <f t="shared" si="0"/>
        <v>Jan 2026</v>
      </c>
      <c r="C52" s="62">
        <v>46042</v>
      </c>
      <c r="D52" s="5" t="s">
        <v>131</v>
      </c>
      <c r="E52" s="8" t="s">
        <v>132</v>
      </c>
      <c r="F52" s="8" t="s">
        <v>724</v>
      </c>
      <c r="G52" s="5">
        <v>15</v>
      </c>
      <c r="H52" s="7">
        <v>65</v>
      </c>
      <c r="I52" s="7">
        <f>G52*H52</f>
        <v>975</v>
      </c>
      <c r="J52" s="7">
        <v>31</v>
      </c>
      <c r="K52" s="7">
        <f>G52*J52</f>
        <v>465</v>
      </c>
      <c r="L52" s="7">
        <f>I52-K52</f>
        <v>510</v>
      </c>
      <c r="M52" s="5" t="s">
        <v>41</v>
      </c>
      <c r="N52" s="7">
        <v>975</v>
      </c>
      <c r="O52" s="28">
        <f>I52-N52</f>
        <v>0</v>
      </c>
    </row>
    <row r="53" spans="1:15" ht="19.5" customHeight="1">
      <c r="A53" s="16" t="s">
        <v>737</v>
      </c>
      <c r="B53" s="15" t="str">
        <f t="shared" si="0"/>
        <v>Dec 2025</v>
      </c>
      <c r="C53" s="63">
        <v>46007</v>
      </c>
      <c r="D53" s="2" t="s">
        <v>240</v>
      </c>
      <c r="E53" s="9" t="s">
        <v>32</v>
      </c>
      <c r="F53" s="9" t="s">
        <v>719</v>
      </c>
      <c r="G53" s="2">
        <v>40</v>
      </c>
      <c r="H53" s="4">
        <v>165</v>
      </c>
      <c r="I53" s="4">
        <f>G53*H53</f>
        <v>6600</v>
      </c>
      <c r="J53" s="4">
        <v>80</v>
      </c>
      <c r="K53" s="4">
        <f>G53*J53</f>
        <v>3200</v>
      </c>
      <c r="L53" s="4">
        <f>I53-K53</f>
        <v>3400</v>
      </c>
      <c r="M53" s="10" t="s">
        <v>42</v>
      </c>
      <c r="N53" s="4">
        <v>0</v>
      </c>
      <c r="O53" s="29">
        <f>I53-N53</f>
        <v>6600</v>
      </c>
    </row>
    <row r="54" spans="1:15" ht="19.5" customHeight="1">
      <c r="A54" s="15" t="s">
        <v>738</v>
      </c>
      <c r="B54" s="15" t="str">
        <f t="shared" si="0"/>
        <v>Feb 2026</v>
      </c>
      <c r="C54" s="62">
        <v>46075</v>
      </c>
      <c r="D54" s="5" t="s">
        <v>281</v>
      </c>
      <c r="E54" s="8" t="s">
        <v>282</v>
      </c>
      <c r="F54" s="8" t="s">
        <v>712</v>
      </c>
      <c r="G54" s="5">
        <v>23</v>
      </c>
      <c r="H54" s="7">
        <v>65</v>
      </c>
      <c r="I54" s="7">
        <f>G54*H54</f>
        <v>1495</v>
      </c>
      <c r="J54" s="7">
        <v>31</v>
      </c>
      <c r="K54" s="7">
        <f>G54*J54</f>
        <v>713</v>
      </c>
      <c r="L54" s="7">
        <f>I54-K54</f>
        <v>782</v>
      </c>
      <c r="M54" s="11" t="s">
        <v>42</v>
      </c>
      <c r="N54" s="7">
        <v>0</v>
      </c>
      <c r="O54" s="28">
        <f>I54-N54</f>
        <v>1495</v>
      </c>
    </row>
    <row r="55" spans="1:15" ht="19.5" customHeight="1">
      <c r="A55" s="16" t="s">
        <v>739</v>
      </c>
      <c r="B55" s="15" t="str">
        <f t="shared" si="0"/>
        <v>Feb 2026</v>
      </c>
      <c r="C55" s="63">
        <v>46063</v>
      </c>
      <c r="D55" s="2" t="s">
        <v>297</v>
      </c>
      <c r="E55" s="9" t="s">
        <v>298</v>
      </c>
      <c r="F55" s="9" t="s">
        <v>708</v>
      </c>
      <c r="G55" s="2">
        <v>49</v>
      </c>
      <c r="H55" s="4">
        <v>125</v>
      </c>
      <c r="I55" s="4">
        <f>G55*H55</f>
        <v>6125</v>
      </c>
      <c r="J55" s="4">
        <v>61</v>
      </c>
      <c r="K55" s="4">
        <f>G55*J55</f>
        <v>2989</v>
      </c>
      <c r="L55" s="4">
        <f>I55-K55</f>
        <v>3136</v>
      </c>
      <c r="M55" s="2" t="s">
        <v>41</v>
      </c>
      <c r="N55" s="4">
        <v>6125</v>
      </c>
      <c r="O55" s="29">
        <f>I55-N55</f>
        <v>0</v>
      </c>
    </row>
    <row r="56" spans="1:15" ht="19.5" customHeight="1">
      <c r="A56" s="15" t="s">
        <v>740</v>
      </c>
      <c r="B56" s="15" t="str">
        <f t="shared" si="0"/>
        <v>Jan 2026</v>
      </c>
      <c r="C56" s="62">
        <v>46035</v>
      </c>
      <c r="D56" s="5" t="s">
        <v>277</v>
      </c>
      <c r="E56" s="8" t="s">
        <v>278</v>
      </c>
      <c r="F56" s="8" t="s">
        <v>685</v>
      </c>
      <c r="G56" s="5">
        <v>22</v>
      </c>
      <c r="H56" s="7">
        <v>95</v>
      </c>
      <c r="I56" s="7">
        <f>G56*H56</f>
        <v>2090</v>
      </c>
      <c r="J56" s="7">
        <v>46</v>
      </c>
      <c r="K56" s="7">
        <f>G56*J56</f>
        <v>1012</v>
      </c>
      <c r="L56" s="7">
        <f>I56-K56</f>
        <v>1078</v>
      </c>
      <c r="M56" s="5" t="s">
        <v>41</v>
      </c>
      <c r="N56" s="7">
        <v>2090</v>
      </c>
      <c r="O56" s="28">
        <f>I56-N56</f>
        <v>0</v>
      </c>
    </row>
    <row r="57" spans="1:15" ht="19.5" customHeight="1">
      <c r="A57" s="16" t="s">
        <v>741</v>
      </c>
      <c r="B57" s="15" t="str">
        <f t="shared" si="0"/>
        <v>Feb 2026</v>
      </c>
      <c r="C57" s="63">
        <v>46065</v>
      </c>
      <c r="D57" s="2" t="s">
        <v>217</v>
      </c>
      <c r="E57" s="9" t="s">
        <v>35</v>
      </c>
      <c r="F57" s="9" t="s">
        <v>701</v>
      </c>
      <c r="G57" s="2">
        <v>48</v>
      </c>
      <c r="H57" s="4">
        <v>45</v>
      </c>
      <c r="I57" s="4">
        <f>G57*H57</f>
        <v>2160</v>
      </c>
      <c r="J57" s="4">
        <v>21</v>
      </c>
      <c r="K57" s="4">
        <f>G57*J57</f>
        <v>1008</v>
      </c>
      <c r="L57" s="4">
        <f>I57-K57</f>
        <v>1152</v>
      </c>
      <c r="M57" s="10" t="s">
        <v>42</v>
      </c>
      <c r="N57" s="4">
        <v>0</v>
      </c>
      <c r="O57" s="29">
        <f>I57-N57</f>
        <v>2160</v>
      </c>
    </row>
    <row r="58" spans="1:15" ht="19.5" customHeight="1">
      <c r="A58" s="15" t="s">
        <v>742</v>
      </c>
      <c r="B58" s="15" t="str">
        <f t="shared" si="0"/>
        <v>Jan 2026</v>
      </c>
      <c r="C58" s="62">
        <v>46026</v>
      </c>
      <c r="D58" s="5" t="s">
        <v>106</v>
      </c>
      <c r="E58" s="8" t="s">
        <v>33</v>
      </c>
      <c r="F58" s="8" t="s">
        <v>701</v>
      </c>
      <c r="G58" s="5">
        <v>10</v>
      </c>
      <c r="H58" s="7">
        <v>95</v>
      </c>
      <c r="I58" s="7">
        <f>G58*H58</f>
        <v>950</v>
      </c>
      <c r="J58" s="7">
        <v>46</v>
      </c>
      <c r="K58" s="7">
        <f>G58*J58</f>
        <v>460</v>
      </c>
      <c r="L58" s="7">
        <f>I58-K58</f>
        <v>490</v>
      </c>
      <c r="M58" s="5" t="s">
        <v>41</v>
      </c>
      <c r="N58" s="7">
        <v>950</v>
      </c>
      <c r="O58" s="28">
        <f>I58-N58</f>
        <v>0</v>
      </c>
    </row>
    <row r="59" spans="1:15" ht="19.5" customHeight="1">
      <c r="A59" s="16" t="s">
        <v>743</v>
      </c>
      <c r="B59" s="15" t="str">
        <f t="shared" si="0"/>
        <v>Dec 2025</v>
      </c>
      <c r="C59" s="63">
        <v>46001</v>
      </c>
      <c r="D59" s="2" t="s">
        <v>271</v>
      </c>
      <c r="E59" s="9" t="s">
        <v>272</v>
      </c>
      <c r="F59" s="9" t="s">
        <v>701</v>
      </c>
      <c r="G59" s="2">
        <v>39</v>
      </c>
      <c r="H59" s="4">
        <v>75</v>
      </c>
      <c r="I59" s="4">
        <f>G59*H59</f>
        <v>2925</v>
      </c>
      <c r="J59" s="4">
        <v>36</v>
      </c>
      <c r="K59" s="4">
        <f>G59*J59</f>
        <v>1404</v>
      </c>
      <c r="L59" s="4">
        <f>I59-K59</f>
        <v>1521</v>
      </c>
      <c r="M59" s="10" t="s">
        <v>42</v>
      </c>
      <c r="N59" s="4">
        <v>1462</v>
      </c>
      <c r="O59" s="29">
        <f>I59-N59</f>
        <v>1463</v>
      </c>
    </row>
    <row r="60" spans="1:15" ht="19.5" customHeight="1">
      <c r="A60" s="15" t="s">
        <v>744</v>
      </c>
      <c r="B60" s="15" t="str">
        <f t="shared" si="0"/>
        <v>Mar 2026</v>
      </c>
      <c r="C60" s="62">
        <v>46084</v>
      </c>
      <c r="D60" s="5" t="s">
        <v>256</v>
      </c>
      <c r="E60" s="8" t="s">
        <v>257</v>
      </c>
      <c r="F60" s="8" t="s">
        <v>699</v>
      </c>
      <c r="G60" s="5">
        <v>36</v>
      </c>
      <c r="H60" s="7">
        <v>85</v>
      </c>
      <c r="I60" s="7">
        <f>G60*H60</f>
        <v>3060</v>
      </c>
      <c r="J60" s="7">
        <v>41</v>
      </c>
      <c r="K60" s="7">
        <f>G60*J60</f>
        <v>1476</v>
      </c>
      <c r="L60" s="7">
        <f>I60-K60</f>
        <v>1584</v>
      </c>
      <c r="M60" s="5" t="s">
        <v>41</v>
      </c>
      <c r="N60" s="7">
        <v>3060</v>
      </c>
      <c r="O60" s="28">
        <f>I60-N60</f>
        <v>0</v>
      </c>
    </row>
    <row r="61" spans="1:15" ht="19.5" customHeight="1">
      <c r="A61" s="16" t="s">
        <v>745</v>
      </c>
      <c r="B61" s="15" t="str">
        <f t="shared" si="0"/>
        <v>Jan 2026</v>
      </c>
      <c r="C61" s="63">
        <v>46030</v>
      </c>
      <c r="D61" s="2" t="s">
        <v>251</v>
      </c>
      <c r="E61" s="9" t="s">
        <v>36</v>
      </c>
      <c r="F61" s="9" t="s">
        <v>724</v>
      </c>
      <c r="G61" s="2">
        <v>48</v>
      </c>
      <c r="H61" s="4">
        <v>85</v>
      </c>
      <c r="I61" s="4">
        <f>G61*H61</f>
        <v>4080</v>
      </c>
      <c r="J61" s="4">
        <v>41</v>
      </c>
      <c r="K61" s="4">
        <f>G61*J61</f>
        <v>1968</v>
      </c>
      <c r="L61" s="4">
        <f>I61-K61</f>
        <v>2112</v>
      </c>
      <c r="M61" s="10" t="s">
        <v>42</v>
      </c>
      <c r="N61" s="4">
        <v>0</v>
      </c>
      <c r="O61" s="29">
        <f>I61-N61</f>
        <v>4080</v>
      </c>
    </row>
    <row r="62" spans="1:15" ht="19.5" customHeight="1">
      <c r="A62" s="15" t="s">
        <v>746</v>
      </c>
      <c r="B62" s="15" t="str">
        <f t="shared" si="0"/>
        <v>Dec 2025</v>
      </c>
      <c r="C62" s="62">
        <v>46021</v>
      </c>
      <c r="D62" s="5" t="s">
        <v>106</v>
      </c>
      <c r="E62" s="8" t="s">
        <v>33</v>
      </c>
      <c r="F62" s="8" t="s">
        <v>731</v>
      </c>
      <c r="G62" s="5">
        <v>17</v>
      </c>
      <c r="H62" s="7">
        <v>95</v>
      </c>
      <c r="I62" s="7">
        <f>G62*H62</f>
        <v>1615</v>
      </c>
      <c r="J62" s="7">
        <v>46</v>
      </c>
      <c r="K62" s="7">
        <f>G62*J62</f>
        <v>782</v>
      </c>
      <c r="L62" s="7">
        <f>I62-K62</f>
        <v>833</v>
      </c>
      <c r="M62" s="5" t="s">
        <v>41</v>
      </c>
      <c r="N62" s="7">
        <v>1615</v>
      </c>
      <c r="O62" s="28">
        <f>I62-N62</f>
        <v>0</v>
      </c>
    </row>
    <row r="63" spans="1:15" ht="19.5" customHeight="1">
      <c r="A63" s="16" t="s">
        <v>747</v>
      </c>
      <c r="B63" s="15" t="str">
        <f t="shared" si="0"/>
        <v>Dec 2025</v>
      </c>
      <c r="C63" s="63">
        <v>46016</v>
      </c>
      <c r="D63" s="2" t="s">
        <v>52</v>
      </c>
      <c r="E63" s="9" t="s">
        <v>39</v>
      </c>
      <c r="F63" s="9" t="s">
        <v>708</v>
      </c>
      <c r="G63" s="2">
        <v>38</v>
      </c>
      <c r="H63" s="4">
        <v>220</v>
      </c>
      <c r="I63" s="4">
        <f>G63*H63</f>
        <v>8360</v>
      </c>
      <c r="J63" s="4">
        <v>110</v>
      </c>
      <c r="K63" s="4">
        <f>G63*J63</f>
        <v>4180</v>
      </c>
      <c r="L63" s="4">
        <f>I63-K63</f>
        <v>4180</v>
      </c>
      <c r="M63" s="2" t="s">
        <v>41</v>
      </c>
      <c r="N63" s="4">
        <v>8360</v>
      </c>
      <c r="O63" s="29">
        <f>I63-N63</f>
        <v>0</v>
      </c>
    </row>
    <row r="64" spans="1:15" ht="19.5" customHeight="1">
      <c r="A64" s="15" t="s">
        <v>748</v>
      </c>
      <c r="B64" s="15" t="str">
        <f t="shared" si="0"/>
        <v>Jan 2026</v>
      </c>
      <c r="C64" s="62">
        <v>46040</v>
      </c>
      <c r="D64" s="5" t="s">
        <v>137</v>
      </c>
      <c r="E64" s="8" t="s">
        <v>138</v>
      </c>
      <c r="F64" s="8" t="s">
        <v>672</v>
      </c>
      <c r="G64" s="5">
        <v>4</v>
      </c>
      <c r="H64" s="7">
        <v>45</v>
      </c>
      <c r="I64" s="7">
        <f>G64*H64</f>
        <v>180</v>
      </c>
      <c r="J64" s="7">
        <v>21</v>
      </c>
      <c r="K64" s="7">
        <f>G64*J64</f>
        <v>84</v>
      </c>
      <c r="L64" s="7">
        <f>I64-K64</f>
        <v>96</v>
      </c>
      <c r="M64" s="11" t="s">
        <v>42</v>
      </c>
      <c r="N64" s="7">
        <v>90</v>
      </c>
      <c r="O64" s="28">
        <f>I64-N64</f>
        <v>90</v>
      </c>
    </row>
    <row r="65" spans="1:15" ht="19.5" customHeight="1">
      <c r="A65" s="16" t="s">
        <v>749</v>
      </c>
      <c r="B65" s="15" t="str">
        <f t="shared" si="0"/>
        <v>Dec 2025</v>
      </c>
      <c r="C65" s="63">
        <v>46021</v>
      </c>
      <c r="D65" s="2" t="s">
        <v>249</v>
      </c>
      <c r="E65" s="9" t="s">
        <v>250</v>
      </c>
      <c r="F65" s="9" t="s">
        <v>677</v>
      </c>
      <c r="G65" s="2">
        <v>27</v>
      </c>
      <c r="H65" s="4">
        <v>65</v>
      </c>
      <c r="I65" s="4">
        <f>G65*H65</f>
        <v>1755</v>
      </c>
      <c r="J65" s="4">
        <v>31</v>
      </c>
      <c r="K65" s="4">
        <f>G65*J65</f>
        <v>837</v>
      </c>
      <c r="L65" s="4">
        <f>I65-K65</f>
        <v>918</v>
      </c>
      <c r="M65" s="10" t="s">
        <v>42</v>
      </c>
      <c r="N65" s="4">
        <v>0</v>
      </c>
      <c r="O65" s="29">
        <f>I65-N65</f>
        <v>1755</v>
      </c>
    </row>
    <row r="66" spans="1:15" ht="19.5" customHeight="1">
      <c r="A66" s="15" t="s">
        <v>750</v>
      </c>
      <c r="B66" s="15" t="str">
        <f t="shared" si="0"/>
        <v>Jan 2026</v>
      </c>
      <c r="C66" s="62">
        <v>46029</v>
      </c>
      <c r="D66" s="5" t="s">
        <v>144</v>
      </c>
      <c r="E66" s="8" t="s">
        <v>38</v>
      </c>
      <c r="F66" s="8" t="s">
        <v>679</v>
      </c>
      <c r="G66" s="5">
        <v>34</v>
      </c>
      <c r="H66" s="7">
        <v>35</v>
      </c>
      <c r="I66" s="7">
        <f>G66*H66</f>
        <v>1190</v>
      </c>
      <c r="J66" s="7">
        <v>16</v>
      </c>
      <c r="K66" s="7">
        <f>G66*J66</f>
        <v>544</v>
      </c>
      <c r="L66" s="7">
        <f>I66-K66</f>
        <v>646</v>
      </c>
      <c r="M66" s="5" t="s">
        <v>41</v>
      </c>
      <c r="N66" s="7">
        <v>1190</v>
      </c>
      <c r="O66" s="28">
        <f>I66-N66</f>
        <v>0</v>
      </c>
    </row>
    <row r="67" spans="1:15" ht="19.5" customHeight="1">
      <c r="A67" s="16" t="s">
        <v>751</v>
      </c>
      <c r="B67" s="15" t="str">
        <f t="shared" ref="B67:B97" si="1">TEXT(C67,"mmm yyyy")</f>
        <v>Feb 2026</v>
      </c>
      <c r="C67" s="63">
        <v>46066</v>
      </c>
      <c r="D67" s="2" t="s">
        <v>269</v>
      </c>
      <c r="E67" s="9" t="s">
        <v>270</v>
      </c>
      <c r="F67" s="9" t="s">
        <v>701</v>
      </c>
      <c r="G67" s="2">
        <v>1</v>
      </c>
      <c r="H67" s="4">
        <v>385</v>
      </c>
      <c r="I67" s="4">
        <f>G67*H67</f>
        <v>385</v>
      </c>
      <c r="J67" s="4">
        <v>190</v>
      </c>
      <c r="K67" s="4">
        <f>G67*J67</f>
        <v>190</v>
      </c>
      <c r="L67" s="4">
        <f>I67-K67</f>
        <v>195</v>
      </c>
      <c r="M67" s="10" t="s">
        <v>42</v>
      </c>
      <c r="N67" s="4">
        <v>0</v>
      </c>
      <c r="O67" s="29">
        <f>I67-N67</f>
        <v>385</v>
      </c>
    </row>
    <row r="68" spans="1:15" ht="19.5" customHeight="1">
      <c r="A68" s="15" t="s">
        <v>752</v>
      </c>
      <c r="B68" s="15" t="str">
        <f t="shared" si="1"/>
        <v>Dec 2025</v>
      </c>
      <c r="C68" s="62">
        <v>46014</v>
      </c>
      <c r="D68" s="5" t="s">
        <v>238</v>
      </c>
      <c r="E68" s="8" t="s">
        <v>239</v>
      </c>
      <c r="F68" s="8" t="s">
        <v>691</v>
      </c>
      <c r="G68" s="5">
        <v>40</v>
      </c>
      <c r="H68" s="7">
        <v>95</v>
      </c>
      <c r="I68" s="7">
        <f>G68*H68</f>
        <v>3800</v>
      </c>
      <c r="J68" s="7">
        <v>46</v>
      </c>
      <c r="K68" s="7">
        <f>G68*J68</f>
        <v>1840</v>
      </c>
      <c r="L68" s="7">
        <f>I68-K68</f>
        <v>1960</v>
      </c>
      <c r="M68" s="11" t="s">
        <v>42</v>
      </c>
      <c r="N68" s="7">
        <v>0</v>
      </c>
      <c r="O68" s="28">
        <f>I68-N68</f>
        <v>3800</v>
      </c>
    </row>
    <row r="69" spans="1:15" ht="19.5" customHeight="1">
      <c r="A69" s="16" t="s">
        <v>753</v>
      </c>
      <c r="B69" s="15" t="str">
        <f t="shared" si="1"/>
        <v>Jan 2026</v>
      </c>
      <c r="C69" s="63">
        <v>46024</v>
      </c>
      <c r="D69" s="2" t="s">
        <v>289</v>
      </c>
      <c r="E69" s="9" t="s">
        <v>290</v>
      </c>
      <c r="F69" s="9" t="s">
        <v>699</v>
      </c>
      <c r="G69" s="2">
        <v>34</v>
      </c>
      <c r="H69" s="4">
        <v>145</v>
      </c>
      <c r="I69" s="4">
        <f>G69*H69</f>
        <v>4930</v>
      </c>
      <c r="J69" s="4">
        <v>70</v>
      </c>
      <c r="K69" s="4">
        <f>G69*J69</f>
        <v>2380</v>
      </c>
      <c r="L69" s="4">
        <f>I69-K69</f>
        <v>2550</v>
      </c>
      <c r="M69" s="2" t="s">
        <v>41</v>
      </c>
      <c r="N69" s="4">
        <v>4930</v>
      </c>
      <c r="O69" s="29">
        <f>I69-N69</f>
        <v>0</v>
      </c>
    </row>
    <row r="70" spans="1:15" ht="19.5" customHeight="1">
      <c r="A70" s="15" t="s">
        <v>754</v>
      </c>
      <c r="B70" s="15" t="str">
        <f t="shared" si="1"/>
        <v>Jan 2026</v>
      </c>
      <c r="C70" s="62">
        <v>46050</v>
      </c>
      <c r="D70" s="5" t="s">
        <v>258</v>
      </c>
      <c r="E70" s="8" t="s">
        <v>259</v>
      </c>
      <c r="F70" s="8" t="s">
        <v>674</v>
      </c>
      <c r="G70" s="5">
        <v>4</v>
      </c>
      <c r="H70" s="7">
        <v>65</v>
      </c>
      <c r="I70" s="7">
        <f>G70*H70</f>
        <v>260</v>
      </c>
      <c r="J70" s="7">
        <v>31</v>
      </c>
      <c r="K70" s="7">
        <f>G70*J70</f>
        <v>124</v>
      </c>
      <c r="L70" s="7">
        <f>I70-K70</f>
        <v>136</v>
      </c>
      <c r="M70" s="5" t="s">
        <v>41</v>
      </c>
      <c r="N70" s="7">
        <v>260</v>
      </c>
      <c r="O70" s="28">
        <f>I70-N70</f>
        <v>0</v>
      </c>
    </row>
    <row r="71" spans="1:15" ht="19.5" customHeight="1">
      <c r="A71" s="16" t="s">
        <v>755</v>
      </c>
      <c r="B71" s="15" t="str">
        <f t="shared" si="1"/>
        <v>Dec 2025</v>
      </c>
      <c r="C71" s="63">
        <v>46014</v>
      </c>
      <c r="D71" s="2" t="s">
        <v>104</v>
      </c>
      <c r="E71" s="9" t="s">
        <v>34</v>
      </c>
      <c r="F71" s="9" t="s">
        <v>726</v>
      </c>
      <c r="G71" s="2">
        <v>7</v>
      </c>
      <c r="H71" s="4">
        <v>180</v>
      </c>
      <c r="I71" s="4">
        <f>G71*H71</f>
        <v>1260</v>
      </c>
      <c r="J71" s="4">
        <v>88</v>
      </c>
      <c r="K71" s="4">
        <f>G71*J71</f>
        <v>616</v>
      </c>
      <c r="L71" s="4">
        <f>I71-K71</f>
        <v>644</v>
      </c>
      <c r="M71" s="2" t="s">
        <v>41</v>
      </c>
      <c r="N71" s="4">
        <v>1260</v>
      </c>
      <c r="O71" s="29">
        <f>I71-N71</f>
        <v>0</v>
      </c>
    </row>
    <row r="72" spans="1:15" ht="19.5" customHeight="1">
      <c r="A72" s="15" t="s">
        <v>756</v>
      </c>
      <c r="B72" s="15" t="str">
        <f t="shared" si="1"/>
        <v>Dec 2025</v>
      </c>
      <c r="C72" s="62">
        <v>46007</v>
      </c>
      <c r="D72" s="5" t="s">
        <v>52</v>
      </c>
      <c r="E72" s="8" t="s">
        <v>39</v>
      </c>
      <c r="F72" s="8" t="s">
        <v>669</v>
      </c>
      <c r="G72" s="5">
        <v>5</v>
      </c>
      <c r="H72" s="7">
        <v>220</v>
      </c>
      <c r="I72" s="7">
        <f>G72*H72</f>
        <v>1100</v>
      </c>
      <c r="J72" s="7">
        <v>110</v>
      </c>
      <c r="K72" s="7">
        <f>G72*J72</f>
        <v>550</v>
      </c>
      <c r="L72" s="7">
        <f>I72-K72</f>
        <v>550</v>
      </c>
      <c r="M72" s="5" t="s">
        <v>41</v>
      </c>
      <c r="N72" s="7">
        <v>1100</v>
      </c>
      <c r="O72" s="28">
        <f>I72-N72</f>
        <v>0</v>
      </c>
    </row>
    <row r="73" spans="1:15" ht="19.5" customHeight="1">
      <c r="A73" s="16" t="s">
        <v>757</v>
      </c>
      <c r="B73" s="15" t="str">
        <f t="shared" si="1"/>
        <v>Jan 2026</v>
      </c>
      <c r="C73" s="63">
        <v>46050</v>
      </c>
      <c r="D73" s="2" t="s">
        <v>269</v>
      </c>
      <c r="E73" s="9" t="s">
        <v>270</v>
      </c>
      <c r="F73" s="9" t="s">
        <v>685</v>
      </c>
      <c r="G73" s="2">
        <v>33</v>
      </c>
      <c r="H73" s="4">
        <v>385</v>
      </c>
      <c r="I73" s="4">
        <f>G73*H73</f>
        <v>12705</v>
      </c>
      <c r="J73" s="4">
        <v>190</v>
      </c>
      <c r="K73" s="4">
        <f>G73*J73</f>
        <v>6270</v>
      </c>
      <c r="L73" s="4">
        <f>I73-K73</f>
        <v>6435</v>
      </c>
      <c r="M73" s="2" t="s">
        <v>41</v>
      </c>
      <c r="N73" s="4">
        <v>12705</v>
      </c>
      <c r="O73" s="29">
        <f>I73-N73</f>
        <v>0</v>
      </c>
    </row>
    <row r="74" spans="1:15" ht="19.5" customHeight="1">
      <c r="A74" s="15" t="s">
        <v>758</v>
      </c>
      <c r="B74" s="15" t="str">
        <f t="shared" si="1"/>
        <v>Dec 2025</v>
      </c>
      <c r="C74" s="62">
        <v>46021</v>
      </c>
      <c r="D74" s="5" t="s">
        <v>247</v>
      </c>
      <c r="E74" s="8" t="s">
        <v>248</v>
      </c>
      <c r="F74" s="8" t="s">
        <v>669</v>
      </c>
      <c r="G74" s="5">
        <v>35</v>
      </c>
      <c r="H74" s="7">
        <v>125</v>
      </c>
      <c r="I74" s="7">
        <f>G74*H74</f>
        <v>4375</v>
      </c>
      <c r="J74" s="7">
        <v>61</v>
      </c>
      <c r="K74" s="7">
        <f>G74*J74</f>
        <v>2135</v>
      </c>
      <c r="L74" s="7">
        <f>I74-K74</f>
        <v>2240</v>
      </c>
      <c r="M74" s="11" t="s">
        <v>42</v>
      </c>
      <c r="N74" s="7">
        <v>0</v>
      </c>
      <c r="O74" s="28">
        <f>I74-N74</f>
        <v>4375</v>
      </c>
    </row>
    <row r="75" spans="1:15" ht="19.5" customHeight="1">
      <c r="A75" s="16" t="s">
        <v>759</v>
      </c>
      <c r="B75" s="15" t="str">
        <f t="shared" si="1"/>
        <v>Feb 2026</v>
      </c>
      <c r="C75" s="63">
        <v>46060</v>
      </c>
      <c r="D75" s="2" t="s">
        <v>175</v>
      </c>
      <c r="E75" s="9" t="s">
        <v>176</v>
      </c>
      <c r="F75" s="9" t="s">
        <v>701</v>
      </c>
      <c r="G75" s="2">
        <v>36</v>
      </c>
      <c r="H75" s="4">
        <v>25</v>
      </c>
      <c r="I75" s="4">
        <f>G75*H75</f>
        <v>900</v>
      </c>
      <c r="J75" s="4">
        <v>12</v>
      </c>
      <c r="K75" s="4">
        <f>G75*J75</f>
        <v>432</v>
      </c>
      <c r="L75" s="4">
        <f>I75-K75</f>
        <v>468</v>
      </c>
      <c r="M75" s="10" t="s">
        <v>42</v>
      </c>
      <c r="N75" s="4">
        <v>450</v>
      </c>
      <c r="O75" s="29">
        <f>I75-N75</f>
        <v>450</v>
      </c>
    </row>
    <row r="76" spans="1:15" ht="19.5" customHeight="1">
      <c r="A76" s="15" t="s">
        <v>760</v>
      </c>
      <c r="B76" s="15" t="str">
        <f t="shared" si="1"/>
        <v>Jan 2026</v>
      </c>
      <c r="C76" s="62">
        <v>46045</v>
      </c>
      <c r="D76" s="5" t="s">
        <v>220</v>
      </c>
      <c r="E76" s="8" t="s">
        <v>221</v>
      </c>
      <c r="F76" s="8" t="s">
        <v>667</v>
      </c>
      <c r="G76" s="5">
        <v>8</v>
      </c>
      <c r="H76" s="7">
        <v>75</v>
      </c>
      <c r="I76" s="7">
        <f>G76*H76</f>
        <v>600</v>
      </c>
      <c r="J76" s="7">
        <v>36</v>
      </c>
      <c r="K76" s="7">
        <f>G76*J76</f>
        <v>288</v>
      </c>
      <c r="L76" s="7">
        <f>I76-K76</f>
        <v>312</v>
      </c>
      <c r="M76" s="5" t="s">
        <v>41</v>
      </c>
      <c r="N76" s="7">
        <v>600</v>
      </c>
      <c r="O76" s="28">
        <f>I76-N76</f>
        <v>0</v>
      </c>
    </row>
    <row r="77" spans="1:15" ht="19.5" customHeight="1">
      <c r="A77" s="16" t="s">
        <v>761</v>
      </c>
      <c r="B77" s="15" t="str">
        <f t="shared" si="1"/>
        <v>Feb 2026</v>
      </c>
      <c r="C77" s="63">
        <v>46058</v>
      </c>
      <c r="D77" s="2" t="s">
        <v>285</v>
      </c>
      <c r="E77" s="9" t="s">
        <v>286</v>
      </c>
      <c r="F77" s="9" t="s">
        <v>688</v>
      </c>
      <c r="G77" s="2">
        <v>16</v>
      </c>
      <c r="H77" s="4">
        <v>125</v>
      </c>
      <c r="I77" s="4">
        <f>G77*H77</f>
        <v>2000</v>
      </c>
      <c r="J77" s="4">
        <v>61</v>
      </c>
      <c r="K77" s="4">
        <f>G77*J77</f>
        <v>976</v>
      </c>
      <c r="L77" s="4">
        <f>I77-K77</f>
        <v>1024</v>
      </c>
      <c r="M77" s="2" t="s">
        <v>41</v>
      </c>
      <c r="N77" s="4">
        <v>2000</v>
      </c>
      <c r="O77" s="29">
        <f>I77-N77</f>
        <v>0</v>
      </c>
    </row>
    <row r="78" spans="1:15" ht="19.5" customHeight="1">
      <c r="A78" s="15" t="s">
        <v>762</v>
      </c>
      <c r="B78" s="15" t="str">
        <f t="shared" si="1"/>
        <v>Dec 2025</v>
      </c>
      <c r="C78" s="62">
        <v>46003</v>
      </c>
      <c r="D78" s="5" t="s">
        <v>136</v>
      </c>
      <c r="E78" s="8" t="s">
        <v>37</v>
      </c>
      <c r="F78" s="8" t="s">
        <v>681</v>
      </c>
      <c r="G78" s="5">
        <v>50</v>
      </c>
      <c r="H78" s="7">
        <v>38</v>
      </c>
      <c r="I78" s="7">
        <f>G78*H78</f>
        <v>1900</v>
      </c>
      <c r="J78" s="7">
        <v>18</v>
      </c>
      <c r="K78" s="7">
        <f>G78*J78</f>
        <v>900</v>
      </c>
      <c r="L78" s="7">
        <f>I78-K78</f>
        <v>1000</v>
      </c>
      <c r="M78" s="5" t="s">
        <v>41</v>
      </c>
      <c r="N78" s="7">
        <v>1900</v>
      </c>
      <c r="O78" s="28">
        <f>I78-N78</f>
        <v>0</v>
      </c>
    </row>
    <row r="79" spans="1:15" ht="19.5" customHeight="1">
      <c r="A79" s="16" t="s">
        <v>763</v>
      </c>
      <c r="B79" s="15" t="str">
        <f t="shared" si="1"/>
        <v>Jan 2026</v>
      </c>
      <c r="C79" s="63">
        <v>46026</v>
      </c>
      <c r="D79" s="2" t="s">
        <v>142</v>
      </c>
      <c r="E79" s="9" t="s">
        <v>143</v>
      </c>
      <c r="F79" s="9" t="s">
        <v>699</v>
      </c>
      <c r="G79" s="2">
        <v>17</v>
      </c>
      <c r="H79" s="4">
        <v>120</v>
      </c>
      <c r="I79" s="4">
        <f>G79*H79</f>
        <v>2040</v>
      </c>
      <c r="J79" s="4">
        <v>58</v>
      </c>
      <c r="K79" s="4">
        <f>G79*J79</f>
        <v>986</v>
      </c>
      <c r="L79" s="4">
        <f>I79-K79</f>
        <v>1054</v>
      </c>
      <c r="M79" s="10" t="s">
        <v>42</v>
      </c>
      <c r="N79" s="4">
        <v>0</v>
      </c>
      <c r="O79" s="29">
        <f>I79-N79</f>
        <v>2040</v>
      </c>
    </row>
    <row r="80" spans="1:15" ht="19.5" customHeight="1">
      <c r="A80" s="15" t="s">
        <v>764</v>
      </c>
      <c r="B80" s="15" t="str">
        <f t="shared" si="1"/>
        <v>Dec 2025</v>
      </c>
      <c r="C80" s="62">
        <v>46000</v>
      </c>
      <c r="D80" s="5" t="s">
        <v>215</v>
      </c>
      <c r="E80" s="8" t="s">
        <v>216</v>
      </c>
      <c r="F80" s="8" t="s">
        <v>731</v>
      </c>
      <c r="G80" s="5">
        <v>32</v>
      </c>
      <c r="H80" s="7">
        <v>35</v>
      </c>
      <c r="I80" s="7">
        <f>G80*H80</f>
        <v>1120</v>
      </c>
      <c r="J80" s="7">
        <v>17</v>
      </c>
      <c r="K80" s="7">
        <f>G80*J80</f>
        <v>544</v>
      </c>
      <c r="L80" s="7">
        <f>I80-K80</f>
        <v>576</v>
      </c>
      <c r="M80" s="5" t="s">
        <v>41</v>
      </c>
      <c r="N80" s="7">
        <v>1120</v>
      </c>
      <c r="O80" s="28">
        <f>I80-N80</f>
        <v>0</v>
      </c>
    </row>
    <row r="81" spans="1:15" ht="19.5" customHeight="1">
      <c r="A81" s="16" t="s">
        <v>765</v>
      </c>
      <c r="B81" s="15" t="str">
        <f t="shared" si="1"/>
        <v>Dec 2025</v>
      </c>
      <c r="C81" s="63">
        <v>46020</v>
      </c>
      <c r="D81" s="2" t="s">
        <v>146</v>
      </c>
      <c r="E81" s="9" t="s">
        <v>147</v>
      </c>
      <c r="F81" s="9" t="s">
        <v>712</v>
      </c>
      <c r="G81" s="2">
        <v>46</v>
      </c>
      <c r="H81" s="4">
        <v>65</v>
      </c>
      <c r="I81" s="4">
        <f>G81*H81</f>
        <v>2990</v>
      </c>
      <c r="J81" s="4">
        <v>31</v>
      </c>
      <c r="K81" s="4">
        <f>G81*J81</f>
        <v>1426</v>
      </c>
      <c r="L81" s="4">
        <f>I81-K81</f>
        <v>1564</v>
      </c>
      <c r="M81" s="2" t="s">
        <v>41</v>
      </c>
      <c r="N81" s="4">
        <v>2990</v>
      </c>
      <c r="O81" s="29">
        <f>I81-N81</f>
        <v>0</v>
      </c>
    </row>
    <row r="82" spans="1:15" ht="19.5" customHeight="1">
      <c r="A82" s="15" t="s">
        <v>766</v>
      </c>
      <c r="B82" s="15" t="str">
        <f t="shared" si="1"/>
        <v>Jan 2026</v>
      </c>
      <c r="C82" s="62">
        <v>46045</v>
      </c>
      <c r="D82" s="5" t="s">
        <v>196</v>
      </c>
      <c r="E82" s="8" t="s">
        <v>197</v>
      </c>
      <c r="F82" s="8" t="s">
        <v>667</v>
      </c>
      <c r="G82" s="5">
        <v>27</v>
      </c>
      <c r="H82" s="7">
        <v>185</v>
      </c>
      <c r="I82" s="7">
        <f>G82*H82</f>
        <v>4995</v>
      </c>
      <c r="J82" s="7">
        <v>90</v>
      </c>
      <c r="K82" s="7">
        <f>G82*J82</f>
        <v>2430</v>
      </c>
      <c r="L82" s="7">
        <f>I82-K82</f>
        <v>2565</v>
      </c>
      <c r="M82" s="5" t="s">
        <v>41</v>
      </c>
      <c r="N82" s="7">
        <v>4995</v>
      </c>
      <c r="O82" s="28">
        <f>I82-N82</f>
        <v>0</v>
      </c>
    </row>
    <row r="83" spans="1:15" ht="19.5" customHeight="1">
      <c r="A83" s="16" t="s">
        <v>767</v>
      </c>
      <c r="B83" s="15" t="str">
        <f t="shared" si="1"/>
        <v>Dec 2025</v>
      </c>
      <c r="C83" s="63">
        <v>46015</v>
      </c>
      <c r="D83" s="2" t="s">
        <v>299</v>
      </c>
      <c r="E83" s="9" t="s">
        <v>300</v>
      </c>
      <c r="F83" s="9" t="s">
        <v>685</v>
      </c>
      <c r="G83" s="2">
        <v>24</v>
      </c>
      <c r="H83" s="4">
        <v>185</v>
      </c>
      <c r="I83" s="4">
        <f>G83*H83</f>
        <v>4440</v>
      </c>
      <c r="J83" s="4">
        <v>90</v>
      </c>
      <c r="K83" s="4">
        <f>G83*J83</f>
        <v>2160</v>
      </c>
      <c r="L83" s="4">
        <f>I83-K83</f>
        <v>2280</v>
      </c>
      <c r="M83" s="2" t="s">
        <v>41</v>
      </c>
      <c r="N83" s="4">
        <v>4440</v>
      </c>
      <c r="O83" s="29">
        <f>I83-N83</f>
        <v>0</v>
      </c>
    </row>
    <row r="84" spans="1:15" ht="19.5" customHeight="1">
      <c r="A84" s="15" t="s">
        <v>768</v>
      </c>
      <c r="B84" s="15" t="str">
        <f t="shared" si="1"/>
        <v>Jan 2026</v>
      </c>
      <c r="C84" s="62">
        <v>46043</v>
      </c>
      <c r="D84" s="5" t="s">
        <v>229</v>
      </c>
      <c r="E84" s="8" t="s">
        <v>230</v>
      </c>
      <c r="F84" s="8" t="s">
        <v>669</v>
      </c>
      <c r="G84" s="5">
        <v>46</v>
      </c>
      <c r="H84" s="7">
        <v>75</v>
      </c>
      <c r="I84" s="7">
        <f>G84*H84</f>
        <v>3450</v>
      </c>
      <c r="J84" s="7">
        <v>36</v>
      </c>
      <c r="K84" s="7">
        <f>G84*J84</f>
        <v>1656</v>
      </c>
      <c r="L84" s="7">
        <f>I84-K84</f>
        <v>1794</v>
      </c>
      <c r="M84" s="5" t="s">
        <v>41</v>
      </c>
      <c r="N84" s="7">
        <v>3450</v>
      </c>
      <c r="O84" s="28">
        <f>I84-N84</f>
        <v>0</v>
      </c>
    </row>
    <row r="85" spans="1:15" ht="19.5" customHeight="1">
      <c r="A85" s="16" t="s">
        <v>769</v>
      </c>
      <c r="B85" s="15" t="str">
        <f t="shared" si="1"/>
        <v>Feb 2026</v>
      </c>
      <c r="C85" s="63">
        <v>46077</v>
      </c>
      <c r="D85" s="2" t="s">
        <v>273</v>
      </c>
      <c r="E85" s="9" t="s">
        <v>274</v>
      </c>
      <c r="F85" s="9" t="s">
        <v>699</v>
      </c>
      <c r="G85" s="2">
        <v>19</v>
      </c>
      <c r="H85" s="4">
        <v>125</v>
      </c>
      <c r="I85" s="4">
        <f>G85*H85</f>
        <v>2375</v>
      </c>
      <c r="J85" s="4">
        <v>61</v>
      </c>
      <c r="K85" s="4">
        <f>G85*J85</f>
        <v>1159</v>
      </c>
      <c r="L85" s="4">
        <f>I85-K85</f>
        <v>1216</v>
      </c>
      <c r="M85" s="2" t="s">
        <v>41</v>
      </c>
      <c r="N85" s="4">
        <v>2375</v>
      </c>
      <c r="O85" s="29">
        <f>I85-N85</f>
        <v>0</v>
      </c>
    </row>
    <row r="86" spans="1:15" ht="19.5" customHeight="1">
      <c r="A86" s="15" t="s">
        <v>770</v>
      </c>
      <c r="B86" s="15" t="str">
        <f t="shared" si="1"/>
        <v>Jan 2026</v>
      </c>
      <c r="C86" s="62">
        <v>46051</v>
      </c>
      <c r="D86" s="5" t="s">
        <v>165</v>
      </c>
      <c r="E86" s="8" t="s">
        <v>166</v>
      </c>
      <c r="F86" s="8" t="s">
        <v>674</v>
      </c>
      <c r="G86" s="5">
        <v>7</v>
      </c>
      <c r="H86" s="7">
        <v>285</v>
      </c>
      <c r="I86" s="7">
        <f>G86*H86</f>
        <v>1995</v>
      </c>
      <c r="J86" s="7">
        <v>140</v>
      </c>
      <c r="K86" s="7">
        <f>G86*J86</f>
        <v>980</v>
      </c>
      <c r="L86" s="7">
        <f>I86-K86</f>
        <v>1015</v>
      </c>
      <c r="M86" s="5" t="s">
        <v>41</v>
      </c>
      <c r="N86" s="7">
        <v>1995</v>
      </c>
      <c r="O86" s="28">
        <f>I86-N86</f>
        <v>0</v>
      </c>
    </row>
    <row r="87" spans="1:15" ht="19.5" customHeight="1">
      <c r="A87" s="16" t="s">
        <v>771</v>
      </c>
      <c r="B87" s="15" t="str">
        <f t="shared" si="1"/>
        <v>Feb 2026</v>
      </c>
      <c r="C87" s="63">
        <v>46069</v>
      </c>
      <c r="D87" s="2" t="s">
        <v>106</v>
      </c>
      <c r="E87" s="9" t="s">
        <v>33</v>
      </c>
      <c r="F87" s="9" t="s">
        <v>708</v>
      </c>
      <c r="G87" s="2">
        <v>12</v>
      </c>
      <c r="H87" s="4">
        <v>95</v>
      </c>
      <c r="I87" s="4">
        <f>G87*H87</f>
        <v>1140</v>
      </c>
      <c r="J87" s="4">
        <v>46</v>
      </c>
      <c r="K87" s="4">
        <f>G87*J87</f>
        <v>552</v>
      </c>
      <c r="L87" s="4">
        <f>I87-K87</f>
        <v>588</v>
      </c>
      <c r="M87" s="2" t="s">
        <v>41</v>
      </c>
      <c r="N87" s="4">
        <v>1140</v>
      </c>
      <c r="O87" s="29">
        <f>I87-N87</f>
        <v>0</v>
      </c>
    </row>
    <row r="88" spans="1:15" ht="19.5" customHeight="1">
      <c r="A88" s="15" t="s">
        <v>772</v>
      </c>
      <c r="B88" s="15" t="str">
        <f t="shared" si="1"/>
        <v>Dec 2025</v>
      </c>
      <c r="C88" s="62">
        <v>46017</v>
      </c>
      <c r="D88" s="5" t="s">
        <v>287</v>
      </c>
      <c r="E88" s="8" t="s">
        <v>288</v>
      </c>
      <c r="F88" s="8" t="s">
        <v>669</v>
      </c>
      <c r="G88" s="5">
        <v>17</v>
      </c>
      <c r="H88" s="7">
        <v>125</v>
      </c>
      <c r="I88" s="7">
        <f>G88*H88</f>
        <v>2125</v>
      </c>
      <c r="J88" s="7">
        <v>61</v>
      </c>
      <c r="K88" s="7">
        <f>G88*J88</f>
        <v>1037</v>
      </c>
      <c r="L88" s="7">
        <f>I88-K88</f>
        <v>1088</v>
      </c>
      <c r="M88" s="5" t="s">
        <v>41</v>
      </c>
      <c r="N88" s="7">
        <v>2125</v>
      </c>
      <c r="O88" s="28">
        <f>I88-N88</f>
        <v>0</v>
      </c>
    </row>
    <row r="89" spans="1:15" ht="19.5" customHeight="1">
      <c r="A89" s="16" t="s">
        <v>773</v>
      </c>
      <c r="B89" s="15" t="str">
        <f t="shared" si="1"/>
        <v>Feb 2026</v>
      </c>
      <c r="C89" s="63">
        <v>46074</v>
      </c>
      <c r="D89" s="2" t="s">
        <v>262</v>
      </c>
      <c r="E89" s="9" t="s">
        <v>31</v>
      </c>
      <c r="F89" s="9" t="s">
        <v>674</v>
      </c>
      <c r="G89" s="2">
        <v>32</v>
      </c>
      <c r="H89" s="4">
        <v>185</v>
      </c>
      <c r="I89" s="4">
        <f>G89*H89</f>
        <v>5920</v>
      </c>
      <c r="J89" s="4">
        <v>90</v>
      </c>
      <c r="K89" s="4">
        <f>G89*J89</f>
        <v>2880</v>
      </c>
      <c r="L89" s="4">
        <f>I89-K89</f>
        <v>3040</v>
      </c>
      <c r="M89" s="10" t="s">
        <v>42</v>
      </c>
      <c r="N89" s="4">
        <v>2960</v>
      </c>
      <c r="O89" s="29">
        <f>I89-N89</f>
        <v>2960</v>
      </c>
    </row>
    <row r="90" spans="1:15" ht="19.5" customHeight="1">
      <c r="A90" s="15" t="s">
        <v>774</v>
      </c>
      <c r="B90" s="15" t="str">
        <f t="shared" si="1"/>
        <v>Feb 2026</v>
      </c>
      <c r="C90" s="62">
        <v>46076</v>
      </c>
      <c r="D90" s="5" t="s">
        <v>291</v>
      </c>
      <c r="E90" s="8" t="s">
        <v>30</v>
      </c>
      <c r="F90" s="8" t="s">
        <v>722</v>
      </c>
      <c r="G90" s="5">
        <v>12</v>
      </c>
      <c r="H90" s="7">
        <v>285</v>
      </c>
      <c r="I90" s="7">
        <f>G90*H90</f>
        <v>3420</v>
      </c>
      <c r="J90" s="7">
        <v>140</v>
      </c>
      <c r="K90" s="7">
        <f>G90*J90</f>
        <v>1680</v>
      </c>
      <c r="L90" s="7">
        <f>I90-K90</f>
        <v>1740</v>
      </c>
      <c r="M90" s="5" t="s">
        <v>41</v>
      </c>
      <c r="N90" s="7">
        <v>3420</v>
      </c>
      <c r="O90" s="28">
        <f>I90-N90</f>
        <v>0</v>
      </c>
    </row>
    <row r="91" spans="1:15" ht="19.5" customHeight="1">
      <c r="A91" s="16" t="s">
        <v>775</v>
      </c>
      <c r="B91" s="15" t="str">
        <f t="shared" si="1"/>
        <v>Jan 2026</v>
      </c>
      <c r="C91" s="63">
        <v>46052</v>
      </c>
      <c r="D91" s="2" t="s">
        <v>104</v>
      </c>
      <c r="E91" s="9" t="s">
        <v>34</v>
      </c>
      <c r="F91" s="9" t="s">
        <v>667</v>
      </c>
      <c r="G91" s="2">
        <v>41</v>
      </c>
      <c r="H91" s="4">
        <v>180</v>
      </c>
      <c r="I91" s="4">
        <f>G91*H91</f>
        <v>7380</v>
      </c>
      <c r="J91" s="4">
        <v>88</v>
      </c>
      <c r="K91" s="4">
        <f>G91*J91</f>
        <v>3608</v>
      </c>
      <c r="L91" s="4">
        <f>I91-K91</f>
        <v>3772</v>
      </c>
      <c r="M91" s="2" t="s">
        <v>41</v>
      </c>
      <c r="N91" s="4">
        <v>7380</v>
      </c>
      <c r="O91" s="29">
        <f>I91-N91</f>
        <v>0</v>
      </c>
    </row>
    <row r="92" spans="1:15" ht="19.5" customHeight="1">
      <c r="A92" s="15" t="s">
        <v>776</v>
      </c>
      <c r="B92" s="15" t="str">
        <f t="shared" si="1"/>
        <v>Feb 2026</v>
      </c>
      <c r="C92" s="62">
        <v>46070</v>
      </c>
      <c r="D92" s="5" t="s">
        <v>269</v>
      </c>
      <c r="E92" s="8" t="s">
        <v>270</v>
      </c>
      <c r="F92" s="8" t="s">
        <v>685</v>
      </c>
      <c r="G92" s="5">
        <v>15</v>
      </c>
      <c r="H92" s="7">
        <v>385</v>
      </c>
      <c r="I92" s="7">
        <f>G92*H92</f>
        <v>5775</v>
      </c>
      <c r="J92" s="7">
        <v>190</v>
      </c>
      <c r="K92" s="7">
        <f>G92*J92</f>
        <v>2850</v>
      </c>
      <c r="L92" s="7">
        <f>I92-K92</f>
        <v>2925</v>
      </c>
      <c r="M92" s="5" t="s">
        <v>41</v>
      </c>
      <c r="N92" s="7">
        <v>5775</v>
      </c>
      <c r="O92" s="28">
        <f>I92-N92</f>
        <v>0</v>
      </c>
    </row>
    <row r="93" spans="1:15" ht="19.5" customHeight="1">
      <c r="A93" s="16" t="s">
        <v>777</v>
      </c>
      <c r="B93" s="15" t="str">
        <f t="shared" si="1"/>
        <v>Jan 2026</v>
      </c>
      <c r="C93" s="63">
        <v>46032</v>
      </c>
      <c r="D93" s="2" t="s">
        <v>52</v>
      </c>
      <c r="E93" s="9" t="s">
        <v>39</v>
      </c>
      <c r="F93" s="9" t="s">
        <v>683</v>
      </c>
      <c r="G93" s="2">
        <v>22</v>
      </c>
      <c r="H93" s="4">
        <v>220</v>
      </c>
      <c r="I93" s="4">
        <f>G93*H93</f>
        <v>4840</v>
      </c>
      <c r="J93" s="4">
        <v>110</v>
      </c>
      <c r="K93" s="4">
        <f>G93*J93</f>
        <v>2420</v>
      </c>
      <c r="L93" s="4">
        <f>I93-K93</f>
        <v>2420</v>
      </c>
      <c r="M93" s="10" t="s">
        <v>42</v>
      </c>
      <c r="N93" s="4">
        <v>2420</v>
      </c>
      <c r="O93" s="29">
        <f>I93-N93</f>
        <v>2420</v>
      </c>
    </row>
    <row r="94" spans="1:15" ht="19.5" customHeight="1">
      <c r="A94" s="15" t="s">
        <v>778</v>
      </c>
      <c r="B94" s="15" t="str">
        <f t="shared" si="1"/>
        <v>Feb 2026</v>
      </c>
      <c r="C94" s="62">
        <v>46055</v>
      </c>
      <c r="D94" s="5" t="s">
        <v>137</v>
      </c>
      <c r="E94" s="8" t="s">
        <v>138</v>
      </c>
      <c r="F94" s="8" t="s">
        <v>699</v>
      </c>
      <c r="G94" s="5">
        <v>3</v>
      </c>
      <c r="H94" s="7">
        <v>45</v>
      </c>
      <c r="I94" s="7">
        <f>G94*H94</f>
        <v>135</v>
      </c>
      <c r="J94" s="7">
        <v>21</v>
      </c>
      <c r="K94" s="7">
        <f>G94*J94</f>
        <v>63</v>
      </c>
      <c r="L94" s="7">
        <f>I94-K94</f>
        <v>72</v>
      </c>
      <c r="M94" s="5" t="s">
        <v>41</v>
      </c>
      <c r="N94" s="7">
        <v>135</v>
      </c>
      <c r="O94" s="28">
        <f>I94-N94</f>
        <v>0</v>
      </c>
    </row>
    <row r="95" spans="1:15" ht="19.5" customHeight="1">
      <c r="A95" s="16" t="s">
        <v>779</v>
      </c>
      <c r="B95" s="15" t="str">
        <f t="shared" si="1"/>
        <v>Feb 2026</v>
      </c>
      <c r="C95" s="63">
        <v>46060</v>
      </c>
      <c r="D95" s="2" t="s">
        <v>146</v>
      </c>
      <c r="E95" s="9" t="s">
        <v>147</v>
      </c>
      <c r="F95" s="9" t="s">
        <v>688</v>
      </c>
      <c r="G95" s="2">
        <v>17</v>
      </c>
      <c r="H95" s="4">
        <v>65</v>
      </c>
      <c r="I95" s="4">
        <f>G95*H95</f>
        <v>1105</v>
      </c>
      <c r="J95" s="4">
        <v>31</v>
      </c>
      <c r="K95" s="4">
        <f>G95*J95</f>
        <v>527</v>
      </c>
      <c r="L95" s="4">
        <f>I95-K95</f>
        <v>578</v>
      </c>
      <c r="M95" s="2" t="s">
        <v>41</v>
      </c>
      <c r="N95" s="4">
        <v>1105</v>
      </c>
      <c r="O95" s="29">
        <f>I95-N95</f>
        <v>0</v>
      </c>
    </row>
    <row r="96" spans="1:15" ht="19.5" customHeight="1">
      <c r="A96" s="15" t="s">
        <v>780</v>
      </c>
      <c r="B96" s="15" t="str">
        <f t="shared" si="1"/>
        <v>Feb 2026</v>
      </c>
      <c r="C96" s="62">
        <v>46059</v>
      </c>
      <c r="D96" s="5" t="s">
        <v>275</v>
      </c>
      <c r="E96" s="8" t="s">
        <v>276</v>
      </c>
      <c r="F96" s="8" t="s">
        <v>688</v>
      </c>
      <c r="G96" s="5">
        <v>20</v>
      </c>
      <c r="H96" s="7">
        <v>35</v>
      </c>
      <c r="I96" s="7">
        <f>G96*H96</f>
        <v>700</v>
      </c>
      <c r="J96" s="7">
        <v>17</v>
      </c>
      <c r="K96" s="7">
        <f>G96*J96</f>
        <v>340</v>
      </c>
      <c r="L96" s="7">
        <f>I96-K96</f>
        <v>360</v>
      </c>
      <c r="M96" s="5" t="s">
        <v>41</v>
      </c>
      <c r="N96" s="7">
        <v>700</v>
      </c>
      <c r="O96" s="28">
        <f>I96-N96</f>
        <v>0</v>
      </c>
    </row>
    <row r="97" spans="1:15" ht="19.5" customHeight="1">
      <c r="A97" s="22" t="s">
        <v>781</v>
      </c>
      <c r="B97" s="15" t="str">
        <f t="shared" si="1"/>
        <v>Jan 2026</v>
      </c>
      <c r="C97" s="64">
        <v>46051</v>
      </c>
      <c r="D97" s="24" t="s">
        <v>231</v>
      </c>
      <c r="E97" s="23" t="s">
        <v>232</v>
      </c>
      <c r="F97" s="23" t="s">
        <v>726</v>
      </c>
      <c r="G97" s="24">
        <v>33</v>
      </c>
      <c r="H97" s="27">
        <v>125</v>
      </c>
      <c r="I97" s="27">
        <f>G97*H97</f>
        <v>4125</v>
      </c>
      <c r="J97" s="27">
        <v>61</v>
      </c>
      <c r="K97" s="27">
        <f>G97*J97</f>
        <v>2013</v>
      </c>
      <c r="L97" s="27">
        <f>I97-K97</f>
        <v>2112</v>
      </c>
      <c r="M97" s="30" t="s">
        <v>42</v>
      </c>
      <c r="N97" s="27">
        <v>2062</v>
      </c>
      <c r="O97" s="31">
        <f>I97-N97</f>
        <v>2063</v>
      </c>
    </row>
  </sheetData>
  <conditionalFormatting sqref="M1:M1048576">
    <cfRule type="cellIs" dxfId="98" priority="3" operator="equal">
      <formula>"cash"</formula>
    </cfRule>
  </conditionalFormatting>
  <conditionalFormatting sqref="M1:M1048576">
    <cfRule type="cellIs" dxfId="97" priority="2" operator="equal">
      <formula>"credit"</formula>
    </cfRule>
  </conditionalFormatting>
  <conditionalFormatting sqref="O2:O1048576">
    <cfRule type="cellIs" dxfId="96" priority="1" operator="greaterThan">
      <formula>0</formula>
    </cfRule>
  </conditionalFormatting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97"/>
  <sheetViews>
    <sheetView showGridLines="0" zoomScaleNormal="100" workbookViewId="0">
      <pane ySplit="1" topLeftCell="A2" activePane="bottomLeft" state="frozen"/>
      <selection pane="bottomLeft" activeCell="F1" sqref="F1"/>
    </sheetView>
  </sheetViews>
  <sheetFormatPr defaultColWidth="8.7109375" defaultRowHeight="15"/>
  <cols>
    <col min="1" max="1" width="12.7109375" style="1" customWidth="1"/>
    <col min="2" max="2" width="28" style="1" customWidth="1"/>
    <col min="3" max="3" width="18" style="1" customWidth="1"/>
    <col min="4" max="4" width="17.85546875" style="1" bestFit="1" customWidth="1"/>
    <col min="5" max="5" width="17.42578125" style="1" bestFit="1" customWidth="1"/>
    <col min="6" max="6" width="18.140625" style="1" bestFit="1" customWidth="1"/>
    <col min="7" max="7" width="12.5703125" style="1" bestFit="1" customWidth="1"/>
    <col min="8" max="9" width="16" style="1" bestFit="1" customWidth="1"/>
    <col min="10" max="10" width="19.140625" style="1" bestFit="1" customWidth="1"/>
    <col min="11" max="11" width="17.140625" style="1" bestFit="1" customWidth="1"/>
    <col min="12" max="12" width="15.5703125" style="1" bestFit="1" customWidth="1"/>
    <col min="13" max="13" width="18" style="1" bestFit="1" customWidth="1"/>
    <col min="14" max="14" width="22.85546875" style="1" bestFit="1" customWidth="1"/>
    <col min="15" max="15" width="19" style="1" bestFit="1" customWidth="1"/>
  </cols>
  <sheetData>
    <row r="1" spans="1:15" ht="34.5" customHeight="1">
      <c r="A1" s="19" t="s">
        <v>55</v>
      </c>
      <c r="B1" s="20" t="s">
        <v>28</v>
      </c>
      <c r="C1" s="20" t="s">
        <v>56</v>
      </c>
      <c r="D1" s="20" t="s">
        <v>59</v>
      </c>
      <c r="E1" s="20" t="s">
        <v>58</v>
      </c>
      <c r="F1" s="20" t="s">
        <v>67</v>
      </c>
      <c r="G1" s="20" t="s">
        <v>68</v>
      </c>
      <c r="H1" s="20" t="s">
        <v>69</v>
      </c>
      <c r="I1" s="20" t="s">
        <v>60</v>
      </c>
      <c r="J1" s="20" t="s">
        <v>70</v>
      </c>
      <c r="K1" s="20" t="s">
        <v>71</v>
      </c>
      <c r="L1" s="20" t="s">
        <v>72</v>
      </c>
      <c r="M1" s="20" t="s">
        <v>73</v>
      </c>
      <c r="N1" s="20" t="s">
        <v>74</v>
      </c>
      <c r="O1" s="21" t="s">
        <v>75</v>
      </c>
    </row>
    <row r="2" spans="1:15" ht="19.5" customHeight="1">
      <c r="A2" s="15" t="s">
        <v>95</v>
      </c>
      <c r="B2" s="8" t="s">
        <v>96</v>
      </c>
      <c r="C2" s="5" t="s">
        <v>97</v>
      </c>
      <c r="D2" s="7">
        <v>22</v>
      </c>
      <c r="E2" s="7">
        <v>45</v>
      </c>
      <c r="F2" s="5">
        <f>IFERROR(SUMIF(Purchase_Entry!C:C,A2,Purchase_Entry!F:F),0)</f>
        <v>927</v>
      </c>
      <c r="G2" s="5">
        <f>IFERROR(SUMIF(Sales_Entry!D:D,A2,Sales_Entry!G:G),0)</f>
        <v>0</v>
      </c>
      <c r="H2" s="5">
        <f>F2-G2</f>
        <v>927</v>
      </c>
      <c r="I2" s="5">
        <v>100</v>
      </c>
      <c r="J2" s="7">
        <f>H2*D2</f>
        <v>20394</v>
      </c>
      <c r="K2" s="5">
        <f ca="1">IFERROR(Medicine_Master!H2-TODAY(),"")</f>
        <v>3</v>
      </c>
      <c r="L2" s="5" t="str">
        <f ca="1">IFERROR(IF(Medicine_Master!H2&lt;TODAY(),"EXPIRED",IF(Medicine_Master!H2-TODAY()&lt;30,"URGENT",IF(Medicine_Master!H2-TODAY()&lt;60,"WARNING","OK"))),"OK")</f>
        <v>URGENT</v>
      </c>
      <c r="M2" s="5" t="str">
        <f>IF(H2&lt;I2,"YES","NO")</f>
        <v>NO</v>
      </c>
      <c r="N2" s="5">
        <f>IFERROR(IF(H2&lt;I2,MAX(I2-H2,ROUNDUP(SUMIF(Sales_Entry!D:D,A2,Sales_Entry!G:G)/90*30,0)),0),0)</f>
        <v>0</v>
      </c>
      <c r="O2" s="17" t="str">
        <f ca="1">IFERROR(IF(SUMIF(Sales_Entry!C:C,"&gt;="&amp;(TODAY()-60),Sales_Entry!G:G)=0,"Slow Moving","Active"),"Active")</f>
        <v>Active</v>
      </c>
    </row>
    <row r="3" spans="1:15" ht="19.5" customHeight="1">
      <c r="A3" s="16" t="s">
        <v>52</v>
      </c>
      <c r="B3" s="9" t="s">
        <v>39</v>
      </c>
      <c r="C3" s="2" t="s">
        <v>97</v>
      </c>
      <c r="D3" s="4">
        <v>110</v>
      </c>
      <c r="E3" s="4">
        <v>220</v>
      </c>
      <c r="F3" s="2">
        <f>IFERROR(SUMIF(Purchase_Entry!C:C,A3,Purchase_Entry!F:F),0)</f>
        <v>628</v>
      </c>
      <c r="G3" s="2">
        <f>IFERROR(SUMIF(Sales_Entry!D:D,A3,Sales_Entry!G:G),0)</f>
        <v>135</v>
      </c>
      <c r="H3" s="2">
        <f>F3-G3</f>
        <v>493</v>
      </c>
      <c r="I3" s="2">
        <v>50</v>
      </c>
      <c r="J3" s="4">
        <f>H3*D3</f>
        <v>54230</v>
      </c>
      <c r="K3" s="2">
        <f ca="1">IFERROR(Medicine_Master!H3-TODAY(),"")</f>
        <v>299</v>
      </c>
      <c r="L3" s="2" t="str">
        <f ca="1">IFERROR(IF(Medicine_Master!H3&lt;TODAY(),"EXPIRED",IF(Medicine_Master!H3-TODAY()&lt;30,"URGENT",IF(Medicine_Master!H3-TODAY()&lt;60,"WARNING","OK"))),"OK")</f>
        <v>OK</v>
      </c>
      <c r="M3" s="2" t="str">
        <f>IF(H3&lt;I3,"YES","NO")</f>
        <v>NO</v>
      </c>
      <c r="N3" s="2">
        <f>IFERROR(IF(H3&lt;I3,MAX(I3-H3,ROUNDUP(SUMIF(Sales_Entry!D:D,A3,Sales_Entry!G:G)/90*30,0)),0),0)</f>
        <v>0</v>
      </c>
      <c r="O3" s="18" t="str">
        <f ca="1">IFERROR(IF(SUMIF(Sales_Entry!C:C,"&gt;="&amp;(TODAY()-60),Sales_Entry!G:G)=0,"Slow Moving","Active"),"Active")</f>
        <v>Active</v>
      </c>
    </row>
    <row r="4" spans="1:15" ht="19.5" customHeight="1">
      <c r="A4" s="15" t="s">
        <v>104</v>
      </c>
      <c r="B4" s="8" t="s">
        <v>34</v>
      </c>
      <c r="C4" s="5" t="s">
        <v>97</v>
      </c>
      <c r="D4" s="7">
        <v>88</v>
      </c>
      <c r="E4" s="7">
        <v>180</v>
      </c>
      <c r="F4" s="5">
        <f>IFERROR(SUMIF(Purchase_Entry!C:C,A4,Purchase_Entry!F:F),0)</f>
        <v>447</v>
      </c>
      <c r="G4" s="5">
        <f>IFERROR(SUMIF(Sales_Entry!D:D,A4,Sales_Entry!G:G),0)</f>
        <v>93</v>
      </c>
      <c r="H4" s="5">
        <f>F4-G4</f>
        <v>354</v>
      </c>
      <c r="I4" s="5">
        <v>60</v>
      </c>
      <c r="J4" s="7">
        <f>H4*D4</f>
        <v>31152</v>
      </c>
      <c r="K4" s="5">
        <f ca="1">IFERROR(Medicine_Master!H4-TODAY(),"")</f>
        <v>639</v>
      </c>
      <c r="L4" s="5" t="str">
        <f ca="1">IFERROR(IF(Medicine_Master!H4&lt;TODAY(),"EXPIRED",IF(Medicine_Master!H4-TODAY()&lt;30,"URGENT",IF(Medicine_Master!H4-TODAY()&lt;60,"WARNING","OK"))),"OK")</f>
        <v>OK</v>
      </c>
      <c r="M4" s="5" t="str">
        <f>IF(H4&lt;I4,"YES","NO")</f>
        <v>NO</v>
      </c>
      <c r="N4" s="5">
        <f>IFERROR(IF(H4&lt;I4,MAX(I4-H4,ROUNDUP(SUMIF(Sales_Entry!D:D,A4,Sales_Entry!G:G)/90*30,0)),0),0)</f>
        <v>0</v>
      </c>
      <c r="O4" s="17" t="str">
        <f ca="1">IFERROR(IF(SUMIF(Sales_Entry!C:C,"&gt;="&amp;(TODAY()-60),Sales_Entry!G:G)=0,"Slow Moving","Active"),"Active")</f>
        <v>Active</v>
      </c>
    </row>
    <row r="5" spans="1:15" ht="19.5" customHeight="1">
      <c r="A5" s="16" t="s">
        <v>106</v>
      </c>
      <c r="B5" s="9" t="s">
        <v>33</v>
      </c>
      <c r="C5" s="2" t="s">
        <v>97</v>
      </c>
      <c r="D5" s="4">
        <v>46</v>
      </c>
      <c r="E5" s="4">
        <v>95</v>
      </c>
      <c r="F5" s="2">
        <f>IFERROR(SUMIF(Purchase_Entry!C:C,A5,Purchase_Entry!F:F),0)</f>
        <v>306</v>
      </c>
      <c r="G5" s="2">
        <f>IFERROR(SUMIF(Sales_Entry!D:D,A5,Sales_Entry!G:G),0)</f>
        <v>88</v>
      </c>
      <c r="H5" s="2">
        <f>F5-G5</f>
        <v>218</v>
      </c>
      <c r="I5" s="2">
        <v>80</v>
      </c>
      <c r="J5" s="4">
        <f>H5*D5</f>
        <v>10028</v>
      </c>
      <c r="K5" s="2">
        <f ca="1">IFERROR(Medicine_Master!H5-TODAY(),"")</f>
        <v>391</v>
      </c>
      <c r="L5" s="2" t="str">
        <f ca="1">IFERROR(IF(Medicine_Master!H5&lt;TODAY(),"EXPIRED",IF(Medicine_Master!H5-TODAY()&lt;30,"URGENT",IF(Medicine_Master!H5-TODAY()&lt;60,"WARNING","OK"))),"OK")</f>
        <v>OK</v>
      </c>
      <c r="M5" s="2" t="str">
        <f>IF(H5&lt;I5,"YES","NO")</f>
        <v>NO</v>
      </c>
      <c r="N5" s="2">
        <f>IFERROR(IF(H5&lt;I5,MAX(I5-H5,ROUNDUP(SUMIF(Sales_Entry!D:D,A5,Sales_Entry!G:G)/90*30,0)),0),0)</f>
        <v>0</v>
      </c>
      <c r="O5" s="18" t="str">
        <f ca="1">IFERROR(IF(SUMIF(Sales_Entry!C:C,"&gt;="&amp;(TODAY()-60),Sales_Entry!G:G)=0,"Slow Moving","Active"),"Active")</f>
        <v>Active</v>
      </c>
    </row>
    <row r="6" spans="1:15" ht="19.5" customHeight="1">
      <c r="A6" s="15" t="s">
        <v>107</v>
      </c>
      <c r="B6" s="8" t="s">
        <v>108</v>
      </c>
      <c r="C6" s="5" t="s">
        <v>97</v>
      </c>
      <c r="D6" s="7">
        <v>17</v>
      </c>
      <c r="E6" s="7">
        <v>35</v>
      </c>
      <c r="F6" s="5">
        <f>IFERROR(SUMIF(Purchase_Entry!C:C,A6,Purchase_Entry!F:F),0)</f>
        <v>65</v>
      </c>
      <c r="G6" s="5">
        <f>IFERROR(SUMIF(Sales_Entry!D:D,A6,Sales_Entry!G:G),0)</f>
        <v>0</v>
      </c>
      <c r="H6" s="5">
        <f>F6-G6</f>
        <v>65</v>
      </c>
      <c r="I6" s="5">
        <v>100</v>
      </c>
      <c r="J6" s="7">
        <f>H6*D6</f>
        <v>1105</v>
      </c>
      <c r="K6" s="5">
        <f ca="1">IFERROR(Medicine_Master!H6-TODAY(),"")</f>
        <v>191</v>
      </c>
      <c r="L6" s="5" t="str">
        <f ca="1">IFERROR(IF(Medicine_Master!H6&lt;TODAY(),"EXPIRED",IF(Medicine_Master!H6-TODAY()&lt;30,"URGENT",IF(Medicine_Master!H6-TODAY()&lt;60,"WARNING","OK"))),"OK")</f>
        <v>OK</v>
      </c>
      <c r="M6" s="5" t="str">
        <f>IF(H6&lt;I6,"YES","NO")</f>
        <v>YES</v>
      </c>
      <c r="N6" s="5">
        <f>IFERROR(IF(H6&lt;I6,MAX(I6-H6,ROUNDUP(SUMIF(Sales_Entry!D:D,A6,Sales_Entry!G:G)/90*30,0)),0),0)</f>
        <v>35</v>
      </c>
      <c r="O6" s="17" t="str">
        <f ca="1">IFERROR(IF(SUMIF(Sales_Entry!C:C,"&gt;="&amp;(TODAY()-60),Sales_Entry!G:G)=0,"Slow Moving","Active"),"Active")</f>
        <v>Active</v>
      </c>
    </row>
    <row r="7" spans="1:15" ht="19.5" customHeight="1">
      <c r="A7" s="16" t="s">
        <v>109</v>
      </c>
      <c r="B7" s="9" t="s">
        <v>110</v>
      </c>
      <c r="C7" s="2" t="s">
        <v>97</v>
      </c>
      <c r="D7" s="4">
        <v>58</v>
      </c>
      <c r="E7" s="4">
        <v>120</v>
      </c>
      <c r="F7" s="2">
        <f>IFERROR(SUMIF(Purchase_Entry!C:C,A7,Purchase_Entry!F:F),0)</f>
        <v>388</v>
      </c>
      <c r="G7" s="2">
        <f>IFERROR(SUMIF(Sales_Entry!D:D,A7,Sales_Entry!G:G),0)</f>
        <v>0</v>
      </c>
      <c r="H7" s="2">
        <f>F7-G7</f>
        <v>388</v>
      </c>
      <c r="I7" s="2">
        <v>60</v>
      </c>
      <c r="J7" s="4">
        <f>H7*D7</f>
        <v>22504</v>
      </c>
      <c r="K7" s="2">
        <f ca="1">IFERROR(Medicine_Master!H7-TODAY(),"")</f>
        <v>30</v>
      </c>
      <c r="L7" s="2" t="str">
        <f ca="1">IFERROR(IF(Medicine_Master!H7&lt;TODAY(),"EXPIRED",IF(Medicine_Master!H7-TODAY()&lt;30,"URGENT",IF(Medicine_Master!H7-TODAY()&lt;60,"WARNING","OK"))),"OK")</f>
        <v>WARNING</v>
      </c>
      <c r="M7" s="2" t="str">
        <f>IF(H7&lt;I7,"YES","NO")</f>
        <v>NO</v>
      </c>
      <c r="N7" s="2">
        <f>IFERROR(IF(H7&lt;I7,MAX(I7-H7,ROUNDUP(SUMIF(Sales_Entry!D:D,A7,Sales_Entry!G:G)/90*30,0)),0),0)</f>
        <v>0</v>
      </c>
      <c r="O7" s="18" t="str">
        <f ca="1">IFERROR(IF(SUMIF(Sales_Entry!C:C,"&gt;="&amp;(TODAY()-60),Sales_Entry!G:G)=0,"Slow Moving","Active"),"Active")</f>
        <v>Active</v>
      </c>
    </row>
    <row r="8" spans="1:15" ht="19.5" customHeight="1">
      <c r="A8" s="15" t="s">
        <v>112</v>
      </c>
      <c r="B8" s="8" t="s">
        <v>782</v>
      </c>
      <c r="C8" s="5" t="s">
        <v>97</v>
      </c>
      <c r="D8" s="7">
        <v>41</v>
      </c>
      <c r="E8" s="7">
        <v>85</v>
      </c>
      <c r="F8" s="5">
        <f>IFERROR(SUMIF(Purchase_Entry!C:C,A8,Purchase_Entry!F:F),0)</f>
        <v>0</v>
      </c>
      <c r="G8" s="5">
        <f>IFERROR(SUMIF(Sales_Entry!D:D,A8,Sales_Entry!G:G),0)</f>
        <v>0</v>
      </c>
      <c r="H8" s="5">
        <f>F8-G8</f>
        <v>0</v>
      </c>
      <c r="I8" s="5">
        <v>80</v>
      </c>
      <c r="J8" s="7">
        <f>H8*D8</f>
        <v>0</v>
      </c>
      <c r="K8" s="5">
        <f ca="1">IFERROR(Medicine_Master!H8-TODAY(),"")</f>
        <v>626</v>
      </c>
      <c r="L8" s="5" t="str">
        <f ca="1">IFERROR(IF(Medicine_Master!H8&lt;TODAY(),"EXPIRED",IF(Medicine_Master!H8-TODAY()&lt;30,"URGENT",IF(Medicine_Master!H8-TODAY()&lt;60,"WARNING","OK"))),"OK")</f>
        <v>OK</v>
      </c>
      <c r="M8" s="5" t="str">
        <f>IF(H8&lt;I8,"YES","NO")</f>
        <v>YES</v>
      </c>
      <c r="N8" s="5">
        <f>IFERROR(IF(H8&lt;I8,MAX(I8-H8,ROUNDUP(SUMIF(Sales_Entry!D:D,A8,Sales_Entry!G:G)/90*30,0)),0),0)</f>
        <v>80</v>
      </c>
      <c r="O8" s="17" t="str">
        <f ca="1">IFERROR(IF(SUMIF(Sales_Entry!C:C,"&gt;="&amp;(TODAY()-60),Sales_Entry!G:G)=0,"Slow Moving","Active"),"Active")</f>
        <v>Active</v>
      </c>
    </row>
    <row r="9" spans="1:15" ht="19.5" customHeight="1">
      <c r="A9" s="16" t="s">
        <v>113</v>
      </c>
      <c r="B9" s="9" t="s">
        <v>114</v>
      </c>
      <c r="C9" s="2" t="s">
        <v>115</v>
      </c>
      <c r="D9" s="4">
        <v>5</v>
      </c>
      <c r="E9" s="4">
        <v>12</v>
      </c>
      <c r="F9" s="2">
        <f>IFERROR(SUMIF(Purchase_Entry!C:C,A9,Purchase_Entry!F:F),0)</f>
        <v>566</v>
      </c>
      <c r="G9" s="2">
        <f>IFERROR(SUMIF(Sales_Entry!D:D,A9,Sales_Entry!G:G),0)</f>
        <v>0</v>
      </c>
      <c r="H9" s="2">
        <f>F9-G9</f>
        <v>566</v>
      </c>
      <c r="I9" s="2">
        <v>200</v>
      </c>
      <c r="J9" s="4">
        <f>H9*D9</f>
        <v>2830</v>
      </c>
      <c r="K9" s="2">
        <f ca="1">IFERROR(Medicine_Master!H9-TODAY(),"")</f>
        <v>43</v>
      </c>
      <c r="L9" s="2" t="str">
        <f ca="1">IFERROR(IF(Medicine_Master!H9&lt;TODAY(),"EXPIRED",IF(Medicine_Master!H9-TODAY()&lt;30,"URGENT",IF(Medicine_Master!H9-TODAY()&lt;60,"WARNING","OK"))),"OK")</f>
        <v>WARNING</v>
      </c>
      <c r="M9" s="2" t="str">
        <f>IF(H9&lt;I9,"YES","NO")</f>
        <v>NO</v>
      </c>
      <c r="N9" s="2">
        <f>IFERROR(IF(H9&lt;I9,MAX(I9-H9,ROUNDUP(SUMIF(Sales_Entry!D:D,A9,Sales_Entry!G:G)/90*30,0)),0),0)</f>
        <v>0</v>
      </c>
      <c r="O9" s="18" t="str">
        <f ca="1">IFERROR(IF(SUMIF(Sales_Entry!C:C,"&gt;="&amp;(TODAY()-60),Sales_Entry!G:G)=0,"Slow Moving","Active"),"Active")</f>
        <v>Active</v>
      </c>
    </row>
    <row r="10" spans="1:15" ht="19.5" customHeight="1">
      <c r="A10" s="15" t="s">
        <v>117</v>
      </c>
      <c r="B10" s="8" t="s">
        <v>118</v>
      </c>
      <c r="C10" s="5" t="s">
        <v>115</v>
      </c>
      <c r="D10" s="7">
        <v>13</v>
      </c>
      <c r="E10" s="7">
        <v>28</v>
      </c>
      <c r="F10" s="5">
        <f>IFERROR(SUMIF(Purchase_Entry!C:C,A10,Purchase_Entry!F:F),0)</f>
        <v>439</v>
      </c>
      <c r="G10" s="5">
        <f>IFERROR(SUMIF(Sales_Entry!D:D,A10,Sales_Entry!G:G),0)</f>
        <v>6</v>
      </c>
      <c r="H10" s="5">
        <f>F10-G10</f>
        <v>433</v>
      </c>
      <c r="I10" s="5">
        <v>150</v>
      </c>
      <c r="J10" s="7">
        <f>H10*D10</f>
        <v>5629</v>
      </c>
      <c r="K10" s="5">
        <f ca="1">IFERROR(Medicine_Master!H10-TODAY(),"")</f>
        <v>-24</v>
      </c>
      <c r="L10" s="5" t="str">
        <f ca="1">IFERROR(IF(Medicine_Master!H10&lt;TODAY(),"EXPIRED",IF(Medicine_Master!H10-TODAY()&lt;30,"URGENT",IF(Medicine_Master!H10-TODAY()&lt;60,"WARNING","OK"))),"OK")</f>
        <v>EXPIRED</v>
      </c>
      <c r="M10" s="5" t="str">
        <f>IF(H10&lt;I10,"YES","NO")</f>
        <v>NO</v>
      </c>
      <c r="N10" s="5">
        <f>IFERROR(IF(H10&lt;I10,MAX(I10-H10,ROUNDUP(SUMIF(Sales_Entry!D:D,A10,Sales_Entry!G:G)/90*30,0)),0),0)</f>
        <v>0</v>
      </c>
      <c r="O10" s="17" t="str">
        <f ca="1">IFERROR(IF(SUMIF(Sales_Entry!C:C,"&gt;="&amp;(TODAY()-60),Sales_Entry!G:G)=0,"Slow Moving","Active"),"Active")</f>
        <v>Active</v>
      </c>
    </row>
    <row r="11" spans="1:15" ht="19.5" customHeight="1">
      <c r="A11" s="16" t="s">
        <v>120</v>
      </c>
      <c r="B11" s="9" t="s">
        <v>121</v>
      </c>
      <c r="C11" s="2" t="s">
        <v>115</v>
      </c>
      <c r="D11" s="4">
        <v>20</v>
      </c>
      <c r="E11" s="4">
        <v>42</v>
      </c>
      <c r="F11" s="2">
        <f>IFERROR(SUMIF(Purchase_Entry!C:C,A11,Purchase_Entry!F:F),0)</f>
        <v>217</v>
      </c>
      <c r="G11" s="2">
        <f>IFERROR(SUMIF(Sales_Entry!D:D,A11,Sales_Entry!G:G),0)</f>
        <v>8</v>
      </c>
      <c r="H11" s="2">
        <f>F11-G11</f>
        <v>209</v>
      </c>
      <c r="I11" s="2">
        <v>120</v>
      </c>
      <c r="J11" s="4">
        <f>H11*D11</f>
        <v>4180</v>
      </c>
      <c r="K11" s="2">
        <f ca="1">IFERROR(Medicine_Master!H11-TODAY(),"")</f>
        <v>51</v>
      </c>
      <c r="L11" s="2" t="str">
        <f ca="1">IFERROR(IF(Medicine_Master!H11&lt;TODAY(),"EXPIRED",IF(Medicine_Master!H11-TODAY()&lt;30,"URGENT",IF(Medicine_Master!H11-TODAY()&lt;60,"WARNING","OK"))),"OK")</f>
        <v>WARNING</v>
      </c>
      <c r="M11" s="2" t="str">
        <f>IF(H11&lt;I11,"YES","NO")</f>
        <v>NO</v>
      </c>
      <c r="N11" s="2">
        <f>IFERROR(IF(H11&lt;I11,MAX(I11-H11,ROUNDUP(SUMIF(Sales_Entry!D:D,A11,Sales_Entry!G:G)/90*30,0)),0),0)</f>
        <v>0</v>
      </c>
      <c r="O11" s="18" t="str">
        <f ca="1">IFERROR(IF(SUMIF(Sales_Entry!C:C,"&gt;="&amp;(TODAY()-60),Sales_Entry!G:G)=0,"Slow Moving","Active"),"Active")</f>
        <v>Active</v>
      </c>
    </row>
    <row r="12" spans="1:15" ht="19.5" customHeight="1">
      <c r="A12" s="15" t="s">
        <v>123</v>
      </c>
      <c r="B12" s="8" t="s">
        <v>124</v>
      </c>
      <c r="C12" s="5" t="s">
        <v>115</v>
      </c>
      <c r="D12" s="7">
        <v>8</v>
      </c>
      <c r="E12" s="7">
        <v>18</v>
      </c>
      <c r="F12" s="5">
        <f>IFERROR(SUMIF(Purchase_Entry!C:C,A12,Purchase_Entry!F:F),0)</f>
        <v>0</v>
      </c>
      <c r="G12" s="5">
        <f>IFERROR(SUMIF(Sales_Entry!D:D,A12,Sales_Entry!G:G),0)</f>
        <v>0</v>
      </c>
      <c r="H12" s="5">
        <f>F12-G12</f>
        <v>0</v>
      </c>
      <c r="I12" s="5">
        <v>150</v>
      </c>
      <c r="J12" s="7">
        <f>H12*D12</f>
        <v>0</v>
      </c>
      <c r="K12" s="5">
        <f ca="1">IFERROR(Medicine_Master!H12-TODAY(),"")</f>
        <v>167</v>
      </c>
      <c r="L12" s="5" t="str">
        <f ca="1">IFERROR(IF(Medicine_Master!H12&lt;TODAY(),"EXPIRED",IF(Medicine_Master!H12-TODAY()&lt;30,"URGENT",IF(Medicine_Master!H12-TODAY()&lt;60,"WARNING","OK"))),"OK")</f>
        <v>OK</v>
      </c>
      <c r="M12" s="5" t="str">
        <f>IF(H12&lt;I12,"YES","NO")</f>
        <v>YES</v>
      </c>
      <c r="N12" s="5">
        <f>IFERROR(IF(H12&lt;I12,MAX(I12-H12,ROUNDUP(SUMIF(Sales_Entry!D:D,A12,Sales_Entry!G:G)/90*30,0)),0),0)</f>
        <v>150</v>
      </c>
      <c r="O12" s="17" t="str">
        <f ca="1">IFERROR(IF(SUMIF(Sales_Entry!C:C,"&gt;="&amp;(TODAY()-60),Sales_Entry!G:G)=0,"Slow Moving","Active"),"Active")</f>
        <v>Active</v>
      </c>
    </row>
    <row r="13" spans="1:15" ht="19.5" customHeight="1">
      <c r="A13" s="16" t="s">
        <v>126</v>
      </c>
      <c r="B13" s="9" t="s">
        <v>127</v>
      </c>
      <c r="C13" s="2" t="s">
        <v>115</v>
      </c>
      <c r="D13" s="4">
        <v>46</v>
      </c>
      <c r="E13" s="4">
        <v>95</v>
      </c>
      <c r="F13" s="2">
        <f>IFERROR(SUMIF(Purchase_Entry!C:C,A13,Purchase_Entry!F:F),0)</f>
        <v>436</v>
      </c>
      <c r="G13" s="2">
        <f>IFERROR(SUMIF(Sales_Entry!D:D,A13,Sales_Entry!G:G),0)</f>
        <v>0</v>
      </c>
      <c r="H13" s="2">
        <f>F13-G13</f>
        <v>436</v>
      </c>
      <c r="I13" s="2">
        <v>70</v>
      </c>
      <c r="J13" s="4">
        <f>H13*D13</f>
        <v>20056</v>
      </c>
      <c r="K13" s="2">
        <f ca="1">IFERROR(Medicine_Master!H13-TODAY(),"")</f>
        <v>689</v>
      </c>
      <c r="L13" s="2" t="str">
        <f ca="1">IFERROR(IF(Medicine_Master!H13&lt;TODAY(),"EXPIRED",IF(Medicine_Master!H13-TODAY()&lt;30,"URGENT",IF(Medicine_Master!H13-TODAY()&lt;60,"WARNING","OK"))),"OK")</f>
        <v>OK</v>
      </c>
      <c r="M13" s="2" t="str">
        <f>IF(H13&lt;I13,"YES","NO")</f>
        <v>NO</v>
      </c>
      <c r="N13" s="2">
        <f>IFERROR(IF(H13&lt;I13,MAX(I13-H13,ROUNDUP(SUMIF(Sales_Entry!D:D,A13,Sales_Entry!G:G)/90*30,0)),0),0)</f>
        <v>0</v>
      </c>
      <c r="O13" s="18" t="str">
        <f ca="1">IFERROR(IF(SUMIF(Sales_Entry!C:C,"&gt;="&amp;(TODAY()-60),Sales_Entry!G:G)=0,"Slow Moving","Active"),"Active")</f>
        <v>Active</v>
      </c>
    </row>
    <row r="14" spans="1:15" ht="19.5" customHeight="1">
      <c r="A14" s="15" t="s">
        <v>129</v>
      </c>
      <c r="B14" s="8" t="s">
        <v>130</v>
      </c>
      <c r="C14" s="5" t="s">
        <v>115</v>
      </c>
      <c r="D14" s="7">
        <v>26</v>
      </c>
      <c r="E14" s="7">
        <v>55</v>
      </c>
      <c r="F14" s="5">
        <f>IFERROR(SUMIF(Purchase_Entry!C:C,A14,Purchase_Entry!F:F),0)</f>
        <v>244</v>
      </c>
      <c r="G14" s="5">
        <f>IFERROR(SUMIF(Sales_Entry!D:D,A14,Sales_Entry!G:G),0)</f>
        <v>36</v>
      </c>
      <c r="H14" s="5">
        <f>F14-G14</f>
        <v>208</v>
      </c>
      <c r="I14" s="5">
        <v>100</v>
      </c>
      <c r="J14" s="7">
        <f>H14*D14</f>
        <v>5408</v>
      </c>
      <c r="K14" s="5">
        <f ca="1">IFERROR(Medicine_Master!H14-TODAY(),"")</f>
        <v>217</v>
      </c>
      <c r="L14" s="5" t="str">
        <f ca="1">IFERROR(IF(Medicine_Master!H14&lt;TODAY(),"EXPIRED",IF(Medicine_Master!H14-TODAY()&lt;30,"URGENT",IF(Medicine_Master!H14-TODAY()&lt;60,"WARNING","OK"))),"OK")</f>
        <v>OK</v>
      </c>
      <c r="M14" s="5" t="str">
        <f>IF(H14&lt;I14,"YES","NO")</f>
        <v>NO</v>
      </c>
      <c r="N14" s="5">
        <f>IFERROR(IF(H14&lt;I14,MAX(I14-H14,ROUNDUP(SUMIF(Sales_Entry!D:D,A14,Sales_Entry!G:G)/90*30,0)),0),0)</f>
        <v>0</v>
      </c>
      <c r="O14" s="17" t="str">
        <f ca="1">IFERROR(IF(SUMIF(Sales_Entry!C:C,"&gt;="&amp;(TODAY()-60),Sales_Entry!G:G)=0,"Slow Moving","Active"),"Active")</f>
        <v>Active</v>
      </c>
    </row>
    <row r="15" spans="1:15" ht="19.5" customHeight="1">
      <c r="A15" s="16" t="s">
        <v>131</v>
      </c>
      <c r="B15" s="9" t="s">
        <v>132</v>
      </c>
      <c r="C15" s="2" t="s">
        <v>133</v>
      </c>
      <c r="D15" s="4">
        <v>31</v>
      </c>
      <c r="E15" s="4">
        <v>65</v>
      </c>
      <c r="F15" s="2">
        <f>IFERROR(SUMIF(Purchase_Entry!C:C,A15,Purchase_Entry!F:F),0)</f>
        <v>296</v>
      </c>
      <c r="G15" s="2">
        <f>IFERROR(SUMIF(Sales_Entry!D:D,A15,Sales_Entry!G:G),0)</f>
        <v>53</v>
      </c>
      <c r="H15" s="2">
        <f>F15-G15</f>
        <v>243</v>
      </c>
      <c r="I15" s="2">
        <v>120</v>
      </c>
      <c r="J15" s="4">
        <f>H15*D15</f>
        <v>7533</v>
      </c>
      <c r="K15" s="2">
        <f ca="1">IFERROR(Medicine_Master!H15-TODAY(),"")</f>
        <v>109</v>
      </c>
      <c r="L15" s="2" t="str">
        <f ca="1">IFERROR(IF(Medicine_Master!H15&lt;TODAY(),"EXPIRED",IF(Medicine_Master!H15-TODAY()&lt;30,"URGENT",IF(Medicine_Master!H15-TODAY()&lt;60,"WARNING","OK"))),"OK")</f>
        <v>OK</v>
      </c>
      <c r="M15" s="2" t="str">
        <f>IF(H15&lt;I15,"YES","NO")</f>
        <v>NO</v>
      </c>
      <c r="N15" s="2">
        <f>IFERROR(IF(H15&lt;I15,MAX(I15-H15,ROUNDUP(SUMIF(Sales_Entry!D:D,A15,Sales_Entry!G:G)/90*30,0)),0),0)</f>
        <v>0</v>
      </c>
      <c r="O15" s="18" t="str">
        <f ca="1">IFERROR(IF(SUMIF(Sales_Entry!C:C,"&gt;="&amp;(TODAY()-60),Sales_Entry!G:G)=0,"Slow Moving","Active"),"Active")</f>
        <v>Active</v>
      </c>
    </row>
    <row r="16" spans="1:15" ht="19.5" customHeight="1">
      <c r="A16" s="15" t="s">
        <v>134</v>
      </c>
      <c r="B16" s="8" t="s">
        <v>135</v>
      </c>
      <c r="C16" s="5" t="s">
        <v>133</v>
      </c>
      <c r="D16" s="7">
        <v>41</v>
      </c>
      <c r="E16" s="7">
        <v>85</v>
      </c>
      <c r="F16" s="5">
        <f>IFERROR(SUMIF(Purchase_Entry!C:C,A16,Purchase_Entry!F:F),0)</f>
        <v>88</v>
      </c>
      <c r="G16" s="5">
        <f>IFERROR(SUMIF(Sales_Entry!D:D,A16,Sales_Entry!G:G),0)</f>
        <v>0</v>
      </c>
      <c r="H16" s="5">
        <f>F16-G16</f>
        <v>88</v>
      </c>
      <c r="I16" s="5">
        <v>100</v>
      </c>
      <c r="J16" s="7">
        <f>H16*D16</f>
        <v>3608</v>
      </c>
      <c r="K16" s="5">
        <f ca="1">IFERROR(Medicine_Master!H16-TODAY(),"")</f>
        <v>381</v>
      </c>
      <c r="L16" s="5" t="str">
        <f ca="1">IFERROR(IF(Medicine_Master!H16&lt;TODAY(),"EXPIRED",IF(Medicine_Master!H16-TODAY()&lt;30,"URGENT",IF(Medicine_Master!H16-TODAY()&lt;60,"WARNING","OK"))),"OK")</f>
        <v>OK</v>
      </c>
      <c r="M16" s="5" t="str">
        <f>IF(H16&lt;I16,"YES","NO")</f>
        <v>YES</v>
      </c>
      <c r="N16" s="5">
        <f>IFERROR(IF(H16&lt;I16,MAX(I16-H16,ROUNDUP(SUMIF(Sales_Entry!D:D,A16,Sales_Entry!G:G)/90*30,0)),0),0)</f>
        <v>12</v>
      </c>
      <c r="O16" s="17" t="str">
        <f ca="1">IFERROR(IF(SUMIF(Sales_Entry!C:C,"&gt;="&amp;(TODAY()-60),Sales_Entry!G:G)=0,"Slow Moving","Active"),"Active")</f>
        <v>Active</v>
      </c>
    </row>
    <row r="17" spans="1:15" ht="19.5" customHeight="1">
      <c r="A17" s="16" t="s">
        <v>136</v>
      </c>
      <c r="B17" s="9" t="s">
        <v>37</v>
      </c>
      <c r="C17" s="2" t="s">
        <v>133</v>
      </c>
      <c r="D17" s="4">
        <v>18</v>
      </c>
      <c r="E17" s="4">
        <v>38</v>
      </c>
      <c r="F17" s="2">
        <f>IFERROR(SUMIF(Purchase_Entry!C:C,A17,Purchase_Entry!F:F),0)</f>
        <v>350</v>
      </c>
      <c r="G17" s="2">
        <f>IFERROR(SUMIF(Sales_Entry!D:D,A17,Sales_Entry!G:G),0)</f>
        <v>110</v>
      </c>
      <c r="H17" s="2">
        <f>F17-G17</f>
        <v>240</v>
      </c>
      <c r="I17" s="2">
        <v>130</v>
      </c>
      <c r="J17" s="4">
        <f>H17*D17</f>
        <v>4320</v>
      </c>
      <c r="K17" s="2">
        <f ca="1">IFERROR(Medicine_Master!H17-TODAY(),"")</f>
        <v>30</v>
      </c>
      <c r="L17" s="2" t="str">
        <f ca="1">IFERROR(IF(Medicine_Master!H17&lt;TODAY(),"EXPIRED",IF(Medicine_Master!H17-TODAY()&lt;30,"URGENT",IF(Medicine_Master!H17-TODAY()&lt;60,"WARNING","OK"))),"OK")</f>
        <v>WARNING</v>
      </c>
      <c r="M17" s="2" t="str">
        <f>IF(H17&lt;I17,"YES","NO")</f>
        <v>NO</v>
      </c>
      <c r="N17" s="2">
        <f>IFERROR(IF(H17&lt;I17,MAX(I17-H17,ROUNDUP(SUMIF(Sales_Entry!D:D,A17,Sales_Entry!G:G)/90*30,0)),0),0)</f>
        <v>0</v>
      </c>
      <c r="O17" s="18" t="str">
        <f ca="1">IFERROR(IF(SUMIF(Sales_Entry!C:C,"&gt;="&amp;(TODAY()-60),Sales_Entry!G:G)=0,"Slow Moving","Active"),"Active")</f>
        <v>Active</v>
      </c>
    </row>
    <row r="18" spans="1:15" ht="19.5" customHeight="1">
      <c r="A18" s="15" t="s">
        <v>137</v>
      </c>
      <c r="B18" s="8" t="s">
        <v>138</v>
      </c>
      <c r="C18" s="5" t="s">
        <v>133</v>
      </c>
      <c r="D18" s="7">
        <v>21</v>
      </c>
      <c r="E18" s="7">
        <v>45</v>
      </c>
      <c r="F18" s="5">
        <f>IFERROR(SUMIF(Purchase_Entry!C:C,A18,Purchase_Entry!F:F),0)</f>
        <v>393</v>
      </c>
      <c r="G18" s="5">
        <f>IFERROR(SUMIF(Sales_Entry!D:D,A18,Sales_Entry!G:G),0)</f>
        <v>7</v>
      </c>
      <c r="H18" s="5">
        <f>F18-G18</f>
        <v>386</v>
      </c>
      <c r="I18" s="5">
        <v>120</v>
      </c>
      <c r="J18" s="7">
        <f>H18*D18</f>
        <v>8106</v>
      </c>
      <c r="K18" s="5">
        <f ca="1">IFERROR(Medicine_Master!H18-TODAY(),"")</f>
        <v>455</v>
      </c>
      <c r="L18" s="5" t="str">
        <f ca="1">IFERROR(IF(Medicine_Master!H18&lt;TODAY(),"EXPIRED",IF(Medicine_Master!H18-TODAY()&lt;30,"URGENT",IF(Medicine_Master!H18-TODAY()&lt;60,"WARNING","OK"))),"OK")</f>
        <v>OK</v>
      </c>
      <c r="M18" s="5" t="str">
        <f>IF(H18&lt;I18,"YES","NO")</f>
        <v>NO</v>
      </c>
      <c r="N18" s="5">
        <f>IFERROR(IF(H18&lt;I18,MAX(I18-H18,ROUNDUP(SUMIF(Sales_Entry!D:D,A18,Sales_Entry!G:G)/90*30,0)),0),0)</f>
        <v>0</v>
      </c>
      <c r="O18" s="17" t="str">
        <f ca="1">IFERROR(IF(SUMIF(Sales_Entry!C:C,"&gt;="&amp;(TODAY()-60),Sales_Entry!G:G)=0,"Slow Moving","Active"),"Active")</f>
        <v>Active</v>
      </c>
    </row>
    <row r="19" spans="1:15" ht="19.5" customHeight="1">
      <c r="A19" s="16" t="s">
        <v>139</v>
      </c>
      <c r="B19" s="9" t="s">
        <v>140</v>
      </c>
      <c r="C19" s="2" t="s">
        <v>133</v>
      </c>
      <c r="D19" s="4">
        <v>46</v>
      </c>
      <c r="E19" s="4">
        <v>95</v>
      </c>
      <c r="F19" s="2">
        <f>IFERROR(SUMIF(Purchase_Entry!C:C,A19,Purchase_Entry!F:F),0)</f>
        <v>0</v>
      </c>
      <c r="G19" s="2">
        <f>IFERROR(SUMIF(Sales_Entry!D:D,A19,Sales_Entry!G:G),0)</f>
        <v>0</v>
      </c>
      <c r="H19" s="2">
        <f>F19-G19</f>
        <v>0</v>
      </c>
      <c r="I19" s="2">
        <v>80</v>
      </c>
      <c r="J19" s="4">
        <f>H19*D19</f>
        <v>0</v>
      </c>
      <c r="K19" s="2">
        <f ca="1">IFERROR(Medicine_Master!H19-TODAY(),"")</f>
        <v>-11</v>
      </c>
      <c r="L19" s="2" t="str">
        <f ca="1">IFERROR(IF(Medicine_Master!H19&lt;TODAY(),"EXPIRED",IF(Medicine_Master!H19-TODAY()&lt;30,"URGENT",IF(Medicine_Master!H19-TODAY()&lt;60,"WARNING","OK"))),"OK")</f>
        <v>EXPIRED</v>
      </c>
      <c r="M19" s="2" t="str">
        <f>IF(H19&lt;I19,"YES","NO")</f>
        <v>YES</v>
      </c>
      <c r="N19" s="2">
        <f>IFERROR(IF(H19&lt;I19,MAX(I19-H19,ROUNDUP(SUMIF(Sales_Entry!D:D,A19,Sales_Entry!G:G)/90*30,0)),0),0)</f>
        <v>80</v>
      </c>
      <c r="O19" s="18" t="str">
        <f ca="1">IFERROR(IF(SUMIF(Sales_Entry!C:C,"&gt;="&amp;(TODAY()-60),Sales_Entry!G:G)=0,"Slow Moving","Active"),"Active")</f>
        <v>Active</v>
      </c>
    </row>
    <row r="20" spans="1:15" ht="19.5" customHeight="1">
      <c r="A20" s="15" t="s">
        <v>142</v>
      </c>
      <c r="B20" s="8" t="s">
        <v>143</v>
      </c>
      <c r="C20" s="5" t="s">
        <v>133</v>
      </c>
      <c r="D20" s="7">
        <v>58</v>
      </c>
      <c r="E20" s="7">
        <v>120</v>
      </c>
      <c r="F20" s="5">
        <f>IFERROR(SUMIF(Purchase_Entry!C:C,A20,Purchase_Entry!F:F),0)</f>
        <v>210</v>
      </c>
      <c r="G20" s="5">
        <f>IFERROR(SUMIF(Sales_Entry!D:D,A20,Sales_Entry!G:G),0)</f>
        <v>17</v>
      </c>
      <c r="H20" s="5">
        <f>F20-G20</f>
        <v>193</v>
      </c>
      <c r="I20" s="5">
        <v>70</v>
      </c>
      <c r="J20" s="7">
        <f>H20*D20</f>
        <v>11194</v>
      </c>
      <c r="K20" s="5">
        <f ca="1">IFERROR(Medicine_Master!H20-TODAY(),"")</f>
        <v>495</v>
      </c>
      <c r="L20" s="5" t="str">
        <f ca="1">IFERROR(IF(Medicine_Master!H20&lt;TODAY(),"EXPIRED",IF(Medicine_Master!H20-TODAY()&lt;30,"URGENT",IF(Medicine_Master!H20-TODAY()&lt;60,"WARNING","OK"))),"OK")</f>
        <v>OK</v>
      </c>
      <c r="M20" s="5" t="str">
        <f>IF(H20&lt;I20,"YES","NO")</f>
        <v>NO</v>
      </c>
      <c r="N20" s="5">
        <f>IFERROR(IF(H20&lt;I20,MAX(I20-H20,ROUNDUP(SUMIF(Sales_Entry!D:D,A20,Sales_Entry!G:G)/90*30,0)),0),0)</f>
        <v>0</v>
      </c>
      <c r="O20" s="17" t="str">
        <f ca="1">IFERROR(IF(SUMIF(Sales_Entry!C:C,"&gt;="&amp;(TODAY()-60),Sales_Entry!G:G)=0,"Slow Moving","Active"),"Active")</f>
        <v>Active</v>
      </c>
    </row>
    <row r="21" spans="1:15" ht="19.5" customHeight="1">
      <c r="A21" s="16" t="s">
        <v>144</v>
      </c>
      <c r="B21" s="9" t="s">
        <v>38</v>
      </c>
      <c r="C21" s="2" t="s">
        <v>145</v>
      </c>
      <c r="D21" s="4">
        <v>16</v>
      </c>
      <c r="E21" s="4">
        <v>35</v>
      </c>
      <c r="F21" s="2">
        <f>IFERROR(SUMIF(Purchase_Entry!C:C,A21,Purchase_Entry!F:F),0)</f>
        <v>548</v>
      </c>
      <c r="G21" s="2">
        <f>IFERROR(SUMIF(Sales_Entry!D:D,A21,Sales_Entry!G:G),0)</f>
        <v>116</v>
      </c>
      <c r="H21" s="2">
        <f>F21-G21</f>
        <v>432</v>
      </c>
      <c r="I21" s="2">
        <v>150</v>
      </c>
      <c r="J21" s="4">
        <f>H21*D21</f>
        <v>6912</v>
      </c>
      <c r="K21" s="2">
        <f ca="1">IFERROR(Medicine_Master!H21-TODAY(),"")</f>
        <v>-27</v>
      </c>
      <c r="L21" s="2" t="str">
        <f ca="1">IFERROR(IF(Medicine_Master!H21&lt;TODAY(),"EXPIRED",IF(Medicine_Master!H21-TODAY()&lt;30,"URGENT",IF(Medicine_Master!H21-TODAY()&lt;60,"WARNING","OK"))),"OK")</f>
        <v>EXPIRED</v>
      </c>
      <c r="M21" s="2" t="str">
        <f>IF(H21&lt;I21,"YES","NO")</f>
        <v>NO</v>
      </c>
      <c r="N21" s="2">
        <f>IFERROR(IF(H21&lt;I21,MAX(I21-H21,ROUNDUP(SUMIF(Sales_Entry!D:D,A21,Sales_Entry!G:G)/90*30,0)),0),0)</f>
        <v>0</v>
      </c>
      <c r="O21" s="18" t="str">
        <f ca="1">IFERROR(IF(SUMIF(Sales_Entry!C:C,"&gt;="&amp;(TODAY()-60),Sales_Entry!G:G)=0,"Slow Moving","Active"),"Active")</f>
        <v>Active</v>
      </c>
    </row>
    <row r="22" spans="1:15" ht="19.5" customHeight="1">
      <c r="A22" s="15" t="s">
        <v>146</v>
      </c>
      <c r="B22" s="8" t="s">
        <v>147</v>
      </c>
      <c r="C22" s="5" t="s">
        <v>145</v>
      </c>
      <c r="D22" s="7">
        <v>31</v>
      </c>
      <c r="E22" s="7">
        <v>65</v>
      </c>
      <c r="F22" s="5">
        <f>IFERROR(SUMIF(Purchase_Entry!C:C,A22,Purchase_Entry!F:F),0)</f>
        <v>1380</v>
      </c>
      <c r="G22" s="5">
        <f>IFERROR(SUMIF(Sales_Entry!D:D,A22,Sales_Entry!G:G),0)</f>
        <v>63</v>
      </c>
      <c r="H22" s="5">
        <f>F22-G22</f>
        <v>1317</v>
      </c>
      <c r="I22" s="5">
        <v>100</v>
      </c>
      <c r="J22" s="7">
        <f>H22*D22</f>
        <v>40827</v>
      </c>
      <c r="K22" s="5">
        <f ca="1">IFERROR(Medicine_Master!H22-TODAY(),"")</f>
        <v>604</v>
      </c>
      <c r="L22" s="5" t="str">
        <f ca="1">IFERROR(IF(Medicine_Master!H22&lt;TODAY(),"EXPIRED",IF(Medicine_Master!H22-TODAY()&lt;30,"URGENT",IF(Medicine_Master!H22-TODAY()&lt;60,"WARNING","OK"))),"OK")</f>
        <v>OK</v>
      </c>
      <c r="M22" s="5" t="str">
        <f>IF(H22&lt;I22,"YES","NO")</f>
        <v>NO</v>
      </c>
      <c r="N22" s="5">
        <f>IFERROR(IF(H22&lt;I22,MAX(I22-H22,ROUNDUP(SUMIF(Sales_Entry!D:D,A22,Sales_Entry!G:G)/90*30,0)),0),0)</f>
        <v>0</v>
      </c>
      <c r="O22" s="17" t="str">
        <f ca="1">IFERROR(IF(SUMIF(Sales_Entry!C:C,"&gt;="&amp;(TODAY()-60),Sales_Entry!G:G)=0,"Slow Moving","Active"),"Active")</f>
        <v>Active</v>
      </c>
    </row>
    <row r="23" spans="1:15" ht="19.5" customHeight="1">
      <c r="A23" s="16" t="s">
        <v>148</v>
      </c>
      <c r="B23" s="9" t="s">
        <v>149</v>
      </c>
      <c r="C23" s="2" t="s">
        <v>145</v>
      </c>
      <c r="D23" s="4">
        <v>21</v>
      </c>
      <c r="E23" s="4">
        <v>45</v>
      </c>
      <c r="F23" s="2">
        <f>IFERROR(SUMIF(Purchase_Entry!C:C,A23,Purchase_Entry!F:F),0)</f>
        <v>208</v>
      </c>
      <c r="G23" s="2">
        <f>IFERROR(SUMIF(Sales_Entry!D:D,A23,Sales_Entry!G:G),0)</f>
        <v>29</v>
      </c>
      <c r="H23" s="2">
        <f>F23-G23</f>
        <v>179</v>
      </c>
      <c r="I23" s="2">
        <v>120</v>
      </c>
      <c r="J23" s="4">
        <f>H23*D23</f>
        <v>3759</v>
      </c>
      <c r="K23" s="2">
        <f ca="1">IFERROR(Medicine_Master!H23-TODAY(),"")</f>
        <v>45</v>
      </c>
      <c r="L23" s="2" t="str">
        <f ca="1">IFERROR(IF(Medicine_Master!H23&lt;TODAY(),"EXPIRED",IF(Medicine_Master!H23-TODAY()&lt;30,"URGENT",IF(Medicine_Master!H23-TODAY()&lt;60,"WARNING","OK"))),"OK")</f>
        <v>WARNING</v>
      </c>
      <c r="M23" s="2" t="str">
        <f>IF(H23&lt;I23,"YES","NO")</f>
        <v>NO</v>
      </c>
      <c r="N23" s="2">
        <f>IFERROR(IF(H23&lt;I23,MAX(I23-H23,ROUNDUP(SUMIF(Sales_Entry!D:D,A23,Sales_Entry!G:G)/90*30,0)),0),0)</f>
        <v>0</v>
      </c>
      <c r="O23" s="18" t="str">
        <f ca="1">IFERROR(IF(SUMIF(Sales_Entry!C:C,"&gt;="&amp;(TODAY()-60),Sales_Entry!G:G)=0,"Slow Moving","Active"),"Active")</f>
        <v>Active</v>
      </c>
    </row>
    <row r="24" spans="1:15" ht="19.5" customHeight="1">
      <c r="A24" s="15" t="s">
        <v>150</v>
      </c>
      <c r="B24" s="8" t="s">
        <v>151</v>
      </c>
      <c r="C24" s="5" t="s">
        <v>145</v>
      </c>
      <c r="D24" s="7">
        <v>8</v>
      </c>
      <c r="E24" s="7">
        <v>18</v>
      </c>
      <c r="F24" s="5">
        <f>IFERROR(SUMIF(Purchase_Entry!C:C,A24,Purchase_Entry!F:F),0)</f>
        <v>347</v>
      </c>
      <c r="G24" s="5">
        <f>IFERROR(SUMIF(Sales_Entry!D:D,A24,Sales_Entry!G:G),0)</f>
        <v>0</v>
      </c>
      <c r="H24" s="5">
        <f>F24-G24</f>
        <v>347</v>
      </c>
      <c r="I24" s="5">
        <v>200</v>
      </c>
      <c r="J24" s="7">
        <f>H24*D24</f>
        <v>2776</v>
      </c>
      <c r="K24" s="5">
        <f ca="1">IFERROR(Medicine_Master!H24-TODAY(),"")</f>
        <v>101</v>
      </c>
      <c r="L24" s="5" t="str">
        <f ca="1">IFERROR(IF(Medicine_Master!H24&lt;TODAY(),"EXPIRED",IF(Medicine_Master!H24-TODAY()&lt;30,"URGENT",IF(Medicine_Master!H24-TODAY()&lt;60,"WARNING","OK"))),"OK")</f>
        <v>OK</v>
      </c>
      <c r="M24" s="5" t="str">
        <f>IF(H24&lt;I24,"YES","NO")</f>
        <v>NO</v>
      </c>
      <c r="N24" s="5">
        <f>IFERROR(IF(H24&lt;I24,MAX(I24-H24,ROUNDUP(SUMIF(Sales_Entry!D:D,A24,Sales_Entry!G:G)/90*30,0)),0),0)</f>
        <v>0</v>
      </c>
      <c r="O24" s="17" t="str">
        <f ca="1">IFERROR(IF(SUMIF(Sales_Entry!C:C,"&gt;="&amp;(TODAY()-60),Sales_Entry!G:G)=0,"Slow Moving","Active"),"Active")</f>
        <v>Active</v>
      </c>
    </row>
    <row r="25" spans="1:15" ht="19.5" customHeight="1">
      <c r="A25" s="16" t="s">
        <v>152</v>
      </c>
      <c r="B25" s="9" t="s">
        <v>153</v>
      </c>
      <c r="C25" s="2" t="s">
        <v>145</v>
      </c>
      <c r="D25" s="4">
        <v>13</v>
      </c>
      <c r="E25" s="4">
        <v>28</v>
      </c>
      <c r="F25" s="2">
        <f>IFERROR(SUMIF(Purchase_Entry!C:C,A25,Purchase_Entry!F:F),0)</f>
        <v>390</v>
      </c>
      <c r="G25" s="2">
        <f>IFERROR(SUMIF(Sales_Entry!D:D,A25,Sales_Entry!G:G),0)</f>
        <v>17</v>
      </c>
      <c r="H25" s="2">
        <f>F25-G25</f>
        <v>373</v>
      </c>
      <c r="I25" s="2">
        <v>150</v>
      </c>
      <c r="J25" s="4">
        <f>H25*D25</f>
        <v>4849</v>
      </c>
      <c r="K25" s="2">
        <f ca="1">IFERROR(Medicine_Master!H25-TODAY(),"")</f>
        <v>685</v>
      </c>
      <c r="L25" s="2" t="str">
        <f ca="1">IFERROR(IF(Medicine_Master!H25&lt;TODAY(),"EXPIRED",IF(Medicine_Master!H25-TODAY()&lt;30,"URGENT",IF(Medicine_Master!H25-TODAY()&lt;60,"WARNING","OK"))),"OK")</f>
        <v>OK</v>
      </c>
      <c r="M25" s="2" t="str">
        <f>IF(H25&lt;I25,"YES","NO")</f>
        <v>NO</v>
      </c>
      <c r="N25" s="2">
        <f>IFERROR(IF(H25&lt;I25,MAX(I25-H25,ROUNDUP(SUMIF(Sales_Entry!D:D,A25,Sales_Entry!G:G)/90*30,0)),0),0)</f>
        <v>0</v>
      </c>
      <c r="O25" s="18" t="str">
        <f ca="1">IFERROR(IF(SUMIF(Sales_Entry!C:C,"&gt;="&amp;(TODAY()-60),Sales_Entry!G:G)=0,"Slow Moving","Active"),"Active")</f>
        <v>Active</v>
      </c>
    </row>
    <row r="26" spans="1:15" ht="19.5" customHeight="1">
      <c r="A26" s="15" t="s">
        <v>154</v>
      </c>
      <c r="B26" s="8" t="s">
        <v>155</v>
      </c>
      <c r="C26" s="5" t="s">
        <v>145</v>
      </c>
      <c r="D26" s="7">
        <v>41</v>
      </c>
      <c r="E26" s="7">
        <v>85</v>
      </c>
      <c r="F26" s="5">
        <f>IFERROR(SUMIF(Purchase_Entry!C:C,A26,Purchase_Entry!F:F),0)</f>
        <v>144</v>
      </c>
      <c r="G26" s="5">
        <f>IFERROR(SUMIF(Sales_Entry!D:D,A26,Sales_Entry!G:G),0)</f>
        <v>50</v>
      </c>
      <c r="H26" s="5">
        <f>F26-G26</f>
        <v>94</v>
      </c>
      <c r="I26" s="5">
        <v>80</v>
      </c>
      <c r="J26" s="7">
        <f>H26*D26</f>
        <v>3854</v>
      </c>
      <c r="K26" s="5">
        <f ca="1">IFERROR(Medicine_Master!H26-TODAY(),"")</f>
        <v>382</v>
      </c>
      <c r="L26" s="5" t="str">
        <f ca="1">IFERROR(IF(Medicine_Master!H26&lt;TODAY(),"EXPIRED",IF(Medicine_Master!H26-TODAY()&lt;30,"URGENT",IF(Medicine_Master!H26-TODAY()&lt;60,"WARNING","OK"))),"OK")</f>
        <v>OK</v>
      </c>
      <c r="M26" s="5" t="str">
        <f>IF(H26&lt;I26,"YES","NO")</f>
        <v>NO</v>
      </c>
      <c r="N26" s="5">
        <f>IFERROR(IF(H26&lt;I26,MAX(I26-H26,ROUNDUP(SUMIF(Sales_Entry!D:D,A26,Sales_Entry!G:G)/90*30,0)),0),0)</f>
        <v>0</v>
      </c>
      <c r="O26" s="17" t="str">
        <f ca="1">IFERROR(IF(SUMIF(Sales_Entry!C:C,"&gt;="&amp;(TODAY()-60),Sales_Entry!G:G)=0,"Slow Moving","Active"),"Active")</f>
        <v>Active</v>
      </c>
    </row>
    <row r="27" spans="1:15" ht="19.5" customHeight="1">
      <c r="A27" s="16" t="s">
        <v>156</v>
      </c>
      <c r="B27" s="9" t="s">
        <v>157</v>
      </c>
      <c r="C27" s="2" t="s">
        <v>145</v>
      </c>
      <c r="D27" s="4">
        <v>36</v>
      </c>
      <c r="E27" s="4">
        <v>75</v>
      </c>
      <c r="F27" s="2">
        <f>IFERROR(SUMIF(Purchase_Entry!C:C,A27,Purchase_Entry!F:F),0)</f>
        <v>0</v>
      </c>
      <c r="G27" s="2">
        <f>IFERROR(SUMIF(Sales_Entry!D:D,A27,Sales_Entry!G:G),0)</f>
        <v>0</v>
      </c>
      <c r="H27" s="2">
        <f>F27-G27</f>
        <v>0</v>
      </c>
      <c r="I27" s="2">
        <v>100</v>
      </c>
      <c r="J27" s="4">
        <f>H27*D27</f>
        <v>0</v>
      </c>
      <c r="K27" s="2">
        <f ca="1">IFERROR(Medicine_Master!H27-TODAY(),"")</f>
        <v>279</v>
      </c>
      <c r="L27" s="2" t="str">
        <f ca="1">IFERROR(IF(Medicine_Master!H27&lt;TODAY(),"EXPIRED",IF(Medicine_Master!H27-TODAY()&lt;30,"URGENT",IF(Medicine_Master!H27-TODAY()&lt;60,"WARNING","OK"))),"OK")</f>
        <v>OK</v>
      </c>
      <c r="M27" s="2" t="str">
        <f>IF(H27&lt;I27,"YES","NO")</f>
        <v>YES</v>
      </c>
      <c r="N27" s="2">
        <f>IFERROR(IF(H27&lt;I27,MAX(I27-H27,ROUNDUP(SUMIF(Sales_Entry!D:D,A27,Sales_Entry!G:G)/90*30,0)),0),0)</f>
        <v>100</v>
      </c>
      <c r="O27" s="18" t="str">
        <f ca="1">IFERROR(IF(SUMIF(Sales_Entry!C:C,"&gt;="&amp;(TODAY()-60),Sales_Entry!G:G)=0,"Slow Moving","Active"),"Active")</f>
        <v>Active</v>
      </c>
    </row>
    <row r="28" spans="1:15" ht="19.5" customHeight="1">
      <c r="A28" s="15" t="s">
        <v>158</v>
      </c>
      <c r="B28" s="8" t="s">
        <v>159</v>
      </c>
      <c r="C28" s="5" t="s">
        <v>160</v>
      </c>
      <c r="D28" s="7">
        <v>13</v>
      </c>
      <c r="E28" s="7">
        <v>28</v>
      </c>
      <c r="F28" s="5">
        <f>IFERROR(SUMIF(Purchase_Entry!C:C,A28,Purchase_Entry!F:F),0)</f>
        <v>237</v>
      </c>
      <c r="G28" s="5">
        <f>IFERROR(SUMIF(Sales_Entry!D:D,A28,Sales_Entry!G:G),0)</f>
        <v>32</v>
      </c>
      <c r="H28" s="5">
        <f>F28-G28</f>
        <v>205</v>
      </c>
      <c r="I28" s="5">
        <v>200</v>
      </c>
      <c r="J28" s="7">
        <f>H28*D28</f>
        <v>2665</v>
      </c>
      <c r="K28" s="5">
        <f ca="1">IFERROR(Medicine_Master!H28-TODAY(),"")</f>
        <v>392</v>
      </c>
      <c r="L28" s="5" t="str">
        <f ca="1">IFERROR(IF(Medicine_Master!H28&lt;TODAY(),"EXPIRED",IF(Medicine_Master!H28-TODAY()&lt;30,"URGENT",IF(Medicine_Master!H28-TODAY()&lt;60,"WARNING","OK"))),"OK")</f>
        <v>OK</v>
      </c>
      <c r="M28" s="5" t="str">
        <f>IF(H28&lt;I28,"YES","NO")</f>
        <v>NO</v>
      </c>
      <c r="N28" s="5">
        <f>IFERROR(IF(H28&lt;I28,MAX(I28-H28,ROUNDUP(SUMIF(Sales_Entry!D:D,A28,Sales_Entry!G:G)/90*30,0)),0),0)</f>
        <v>0</v>
      </c>
      <c r="O28" s="17" t="str">
        <f ca="1">IFERROR(IF(SUMIF(Sales_Entry!C:C,"&gt;="&amp;(TODAY()-60),Sales_Entry!G:G)=0,"Slow Moving","Active"),"Active")</f>
        <v>Active</v>
      </c>
    </row>
    <row r="29" spans="1:15" ht="19.5" customHeight="1">
      <c r="A29" s="16" t="s">
        <v>161</v>
      </c>
      <c r="B29" s="9" t="s">
        <v>162</v>
      </c>
      <c r="C29" s="2" t="s">
        <v>160</v>
      </c>
      <c r="D29" s="4">
        <v>21</v>
      </c>
      <c r="E29" s="4">
        <v>45</v>
      </c>
      <c r="F29" s="2">
        <f>IFERROR(SUMIF(Purchase_Entry!C:C,A29,Purchase_Entry!F:F),0)</f>
        <v>711</v>
      </c>
      <c r="G29" s="2">
        <f>IFERROR(SUMIF(Sales_Entry!D:D,A29,Sales_Entry!G:G),0)</f>
        <v>3</v>
      </c>
      <c r="H29" s="2">
        <f>F29-G29</f>
        <v>708</v>
      </c>
      <c r="I29" s="2">
        <v>150</v>
      </c>
      <c r="J29" s="4">
        <f>H29*D29</f>
        <v>14868</v>
      </c>
      <c r="K29" s="2">
        <f ca="1">IFERROR(Medicine_Master!H29-TODAY(),"")</f>
        <v>43</v>
      </c>
      <c r="L29" s="2" t="str">
        <f ca="1">IFERROR(IF(Medicine_Master!H29&lt;TODAY(),"EXPIRED",IF(Medicine_Master!H29-TODAY()&lt;30,"URGENT",IF(Medicine_Master!H29-TODAY()&lt;60,"WARNING","OK"))),"OK")</f>
        <v>WARNING</v>
      </c>
      <c r="M29" s="2" t="str">
        <f>IF(H29&lt;I29,"YES","NO")</f>
        <v>NO</v>
      </c>
      <c r="N29" s="2">
        <f>IFERROR(IF(H29&lt;I29,MAX(I29-H29,ROUNDUP(SUMIF(Sales_Entry!D:D,A29,Sales_Entry!G:G)/90*30,0)),0),0)</f>
        <v>0</v>
      </c>
      <c r="O29" s="18" t="str">
        <f ca="1">IFERROR(IF(SUMIF(Sales_Entry!C:C,"&gt;="&amp;(TODAY()-60),Sales_Entry!G:G)=0,"Slow Moving","Active"),"Active")</f>
        <v>Active</v>
      </c>
    </row>
    <row r="30" spans="1:15" ht="19.5" customHeight="1">
      <c r="A30" s="15" t="s">
        <v>163</v>
      </c>
      <c r="B30" s="8" t="s">
        <v>164</v>
      </c>
      <c r="C30" s="5" t="s">
        <v>160</v>
      </c>
      <c r="D30" s="7">
        <v>10</v>
      </c>
      <c r="E30" s="7">
        <v>22</v>
      </c>
      <c r="F30" s="5">
        <f>IFERROR(SUMIF(Purchase_Entry!C:C,A30,Purchase_Entry!F:F),0)</f>
        <v>0</v>
      </c>
      <c r="G30" s="5">
        <f>IFERROR(SUMIF(Sales_Entry!D:D,A30,Sales_Entry!G:G),0)</f>
        <v>0</v>
      </c>
      <c r="H30" s="5">
        <f>F30-G30</f>
        <v>0</v>
      </c>
      <c r="I30" s="5">
        <v>180</v>
      </c>
      <c r="J30" s="7">
        <f>H30*D30</f>
        <v>0</v>
      </c>
      <c r="K30" s="5">
        <f ca="1">IFERROR(Medicine_Master!H30-TODAY(),"")</f>
        <v>353</v>
      </c>
      <c r="L30" s="5" t="str">
        <f ca="1">IFERROR(IF(Medicine_Master!H30&lt;TODAY(),"EXPIRED",IF(Medicine_Master!H30-TODAY()&lt;30,"URGENT",IF(Medicine_Master!H30-TODAY()&lt;60,"WARNING","OK"))),"OK")</f>
        <v>OK</v>
      </c>
      <c r="M30" s="5" t="str">
        <f>IF(H30&lt;I30,"YES","NO")</f>
        <v>YES</v>
      </c>
      <c r="N30" s="5">
        <f>IFERROR(IF(H30&lt;I30,MAX(I30-H30,ROUNDUP(SUMIF(Sales_Entry!D:D,A30,Sales_Entry!G:G)/90*30,0)),0),0)</f>
        <v>180</v>
      </c>
      <c r="O30" s="17" t="str">
        <f ca="1">IFERROR(IF(SUMIF(Sales_Entry!C:C,"&gt;="&amp;(TODAY()-60),Sales_Entry!G:G)=0,"Slow Moving","Active"),"Active")</f>
        <v>Active</v>
      </c>
    </row>
    <row r="31" spans="1:15" ht="19.5" customHeight="1">
      <c r="A31" s="16" t="s">
        <v>165</v>
      </c>
      <c r="B31" s="9" t="s">
        <v>166</v>
      </c>
      <c r="C31" s="2" t="s">
        <v>160</v>
      </c>
      <c r="D31" s="4">
        <v>140</v>
      </c>
      <c r="E31" s="4">
        <v>285</v>
      </c>
      <c r="F31" s="2">
        <f>IFERROR(SUMIF(Purchase_Entry!C:C,A31,Purchase_Entry!F:F),0)</f>
        <v>285</v>
      </c>
      <c r="G31" s="2">
        <f>IFERROR(SUMIF(Sales_Entry!D:D,A31,Sales_Entry!G:G),0)</f>
        <v>7</v>
      </c>
      <c r="H31" s="2">
        <f>F31-G31</f>
        <v>278</v>
      </c>
      <c r="I31" s="2">
        <v>50</v>
      </c>
      <c r="J31" s="4">
        <f>H31*D31</f>
        <v>38920</v>
      </c>
      <c r="K31" s="2">
        <f ca="1">IFERROR(Medicine_Master!H31-TODAY(),"")</f>
        <v>442</v>
      </c>
      <c r="L31" s="2" t="str">
        <f ca="1">IFERROR(IF(Medicine_Master!H31&lt;TODAY(),"EXPIRED",IF(Medicine_Master!H31-TODAY()&lt;30,"URGENT",IF(Medicine_Master!H31-TODAY()&lt;60,"WARNING","OK"))),"OK")</f>
        <v>OK</v>
      </c>
      <c r="M31" s="2" t="str">
        <f>IF(H31&lt;I31,"YES","NO")</f>
        <v>NO</v>
      </c>
      <c r="N31" s="2">
        <f>IFERROR(IF(H31&lt;I31,MAX(I31-H31,ROUNDUP(SUMIF(Sales_Entry!D:D,A31,Sales_Entry!G:G)/90*30,0)),0),0)</f>
        <v>0</v>
      </c>
      <c r="O31" s="18" t="str">
        <f ca="1">IFERROR(IF(SUMIF(Sales_Entry!C:C,"&gt;="&amp;(TODAY()-60),Sales_Entry!G:G)=0,"Slow Moving","Active"),"Active")</f>
        <v>Active</v>
      </c>
    </row>
    <row r="32" spans="1:15" ht="19.5" customHeight="1">
      <c r="A32" s="15" t="s">
        <v>167</v>
      </c>
      <c r="B32" s="8" t="s">
        <v>168</v>
      </c>
      <c r="C32" s="5" t="s">
        <v>160</v>
      </c>
      <c r="D32" s="7">
        <v>31</v>
      </c>
      <c r="E32" s="7">
        <v>65</v>
      </c>
      <c r="F32" s="5">
        <f>IFERROR(SUMIF(Purchase_Entry!C:C,A32,Purchase_Entry!F:F),0)</f>
        <v>991</v>
      </c>
      <c r="G32" s="5">
        <f>IFERROR(SUMIF(Sales_Entry!D:D,A32,Sales_Entry!G:G),0)</f>
        <v>6</v>
      </c>
      <c r="H32" s="5">
        <f>F32-G32</f>
        <v>985</v>
      </c>
      <c r="I32" s="5">
        <v>130</v>
      </c>
      <c r="J32" s="7">
        <f>H32*D32</f>
        <v>30535</v>
      </c>
      <c r="K32" s="5">
        <f ca="1">IFERROR(Medicine_Master!H32-TODAY(),"")</f>
        <v>53</v>
      </c>
      <c r="L32" s="5" t="str">
        <f ca="1">IFERROR(IF(Medicine_Master!H32&lt;TODAY(),"EXPIRED",IF(Medicine_Master!H32-TODAY()&lt;30,"URGENT",IF(Medicine_Master!H32-TODAY()&lt;60,"WARNING","OK"))),"OK")</f>
        <v>WARNING</v>
      </c>
      <c r="M32" s="5" t="str">
        <f>IF(H32&lt;I32,"YES","NO")</f>
        <v>NO</v>
      </c>
      <c r="N32" s="5">
        <f>IFERROR(IF(H32&lt;I32,MAX(I32-H32,ROUNDUP(SUMIF(Sales_Entry!D:D,A32,Sales_Entry!G:G)/90*30,0)),0),0)</f>
        <v>0</v>
      </c>
      <c r="O32" s="17" t="str">
        <f ca="1">IFERROR(IF(SUMIF(Sales_Entry!C:C,"&gt;="&amp;(TODAY()-60),Sales_Entry!G:G)=0,"Slow Moving","Active"),"Active")</f>
        <v>Active</v>
      </c>
    </row>
    <row r="33" spans="1:15" ht="19.5" customHeight="1">
      <c r="A33" s="16" t="s">
        <v>169</v>
      </c>
      <c r="B33" s="9" t="s">
        <v>170</v>
      </c>
      <c r="C33" s="2" t="s">
        <v>160</v>
      </c>
      <c r="D33" s="4">
        <v>420</v>
      </c>
      <c r="E33" s="4">
        <v>850</v>
      </c>
      <c r="F33" s="2">
        <f>IFERROR(SUMIF(Purchase_Entry!C:C,A33,Purchase_Entry!F:F),0)</f>
        <v>790</v>
      </c>
      <c r="G33" s="2">
        <f>IFERROR(SUMIF(Sales_Entry!D:D,A33,Sales_Entry!G:G),0)</f>
        <v>0</v>
      </c>
      <c r="H33" s="2">
        <f>F33-G33</f>
        <v>790</v>
      </c>
      <c r="I33" s="2">
        <v>20</v>
      </c>
      <c r="J33" s="4">
        <f>H33*D33</f>
        <v>331800</v>
      </c>
      <c r="K33" s="2">
        <f ca="1">IFERROR(Medicine_Master!H33-TODAY(),"")</f>
        <v>513</v>
      </c>
      <c r="L33" s="2" t="str">
        <f ca="1">IFERROR(IF(Medicine_Master!H33&lt;TODAY(),"EXPIRED",IF(Medicine_Master!H33-TODAY()&lt;30,"URGENT",IF(Medicine_Master!H33-TODAY()&lt;60,"WARNING","OK"))),"OK")</f>
        <v>OK</v>
      </c>
      <c r="M33" s="2" t="str">
        <f>IF(H33&lt;I33,"YES","NO")</f>
        <v>NO</v>
      </c>
      <c r="N33" s="2">
        <f>IFERROR(IF(H33&lt;I33,MAX(I33-H33,ROUNDUP(SUMIF(Sales_Entry!D:D,A33,Sales_Entry!G:G)/90*30,0)),0),0)</f>
        <v>0</v>
      </c>
      <c r="O33" s="18" t="str">
        <f ca="1">IFERROR(IF(SUMIF(Sales_Entry!C:C,"&gt;="&amp;(TODAY()-60),Sales_Entry!G:G)=0,"Slow Moving","Active"),"Active")</f>
        <v>Active</v>
      </c>
    </row>
    <row r="34" spans="1:15" ht="19.5" customHeight="1">
      <c r="A34" s="15" t="s">
        <v>172</v>
      </c>
      <c r="B34" s="8" t="s">
        <v>173</v>
      </c>
      <c r="C34" s="5" t="s">
        <v>174</v>
      </c>
      <c r="D34" s="7">
        <v>18</v>
      </c>
      <c r="E34" s="7">
        <v>38</v>
      </c>
      <c r="F34" s="5">
        <f>IFERROR(SUMIF(Purchase_Entry!C:C,A34,Purchase_Entry!F:F),0)</f>
        <v>0</v>
      </c>
      <c r="G34" s="5">
        <f>IFERROR(SUMIF(Sales_Entry!D:D,A34,Sales_Entry!G:G),0)</f>
        <v>0</v>
      </c>
      <c r="H34" s="5">
        <f>F34-G34</f>
        <v>0</v>
      </c>
      <c r="I34" s="5">
        <v>200</v>
      </c>
      <c r="J34" s="7">
        <f>H34*D34</f>
        <v>0</v>
      </c>
      <c r="K34" s="5">
        <f ca="1">IFERROR(Medicine_Master!H34-TODAY(),"")</f>
        <v>36</v>
      </c>
      <c r="L34" s="5" t="str">
        <f ca="1">IFERROR(IF(Medicine_Master!H34&lt;TODAY(),"EXPIRED",IF(Medicine_Master!H34-TODAY()&lt;30,"URGENT",IF(Medicine_Master!H34-TODAY()&lt;60,"WARNING","OK"))),"OK")</f>
        <v>WARNING</v>
      </c>
      <c r="M34" s="5" t="str">
        <f>IF(H34&lt;I34,"YES","NO")</f>
        <v>YES</v>
      </c>
      <c r="N34" s="5">
        <f>IFERROR(IF(H34&lt;I34,MAX(I34-H34,ROUNDUP(SUMIF(Sales_Entry!D:D,A34,Sales_Entry!G:G)/90*30,0)),0),0)</f>
        <v>200</v>
      </c>
      <c r="O34" s="17" t="str">
        <f ca="1">IFERROR(IF(SUMIF(Sales_Entry!C:C,"&gt;="&amp;(TODAY()-60),Sales_Entry!G:G)=0,"Slow Moving","Active"),"Active")</f>
        <v>Active</v>
      </c>
    </row>
    <row r="35" spans="1:15" ht="19.5" customHeight="1">
      <c r="A35" s="16" t="s">
        <v>175</v>
      </c>
      <c r="B35" s="9" t="s">
        <v>176</v>
      </c>
      <c r="C35" s="2" t="s">
        <v>174</v>
      </c>
      <c r="D35" s="4">
        <v>12</v>
      </c>
      <c r="E35" s="4">
        <v>25</v>
      </c>
      <c r="F35" s="2">
        <f>IFERROR(SUMIF(Purchase_Entry!C:C,A35,Purchase_Entry!F:F),0)</f>
        <v>384</v>
      </c>
      <c r="G35" s="2">
        <f>IFERROR(SUMIF(Sales_Entry!D:D,A35,Sales_Entry!G:G),0)</f>
        <v>36</v>
      </c>
      <c r="H35" s="2">
        <f>F35-G35</f>
        <v>348</v>
      </c>
      <c r="I35" s="2">
        <v>200</v>
      </c>
      <c r="J35" s="4">
        <f>H35*D35</f>
        <v>4176</v>
      </c>
      <c r="K35" s="2">
        <f ca="1">IFERROR(Medicine_Master!H35-TODAY(),"")</f>
        <v>34</v>
      </c>
      <c r="L35" s="2" t="str">
        <f ca="1">IFERROR(IF(Medicine_Master!H35&lt;TODAY(),"EXPIRED",IF(Medicine_Master!H35-TODAY()&lt;30,"URGENT",IF(Medicine_Master!H35-TODAY()&lt;60,"WARNING","OK"))),"OK")</f>
        <v>WARNING</v>
      </c>
      <c r="M35" s="2" t="str">
        <f>IF(H35&lt;I35,"YES","NO")</f>
        <v>NO</v>
      </c>
      <c r="N35" s="2">
        <f>IFERROR(IF(H35&lt;I35,MAX(I35-H35,ROUNDUP(SUMIF(Sales_Entry!D:D,A35,Sales_Entry!G:G)/90*30,0)),0),0)</f>
        <v>0</v>
      </c>
      <c r="O35" s="18" t="str">
        <f ca="1">IFERROR(IF(SUMIF(Sales_Entry!C:C,"&gt;="&amp;(TODAY()-60),Sales_Entry!G:G)=0,"Slow Moving","Active"),"Active")</f>
        <v>Active</v>
      </c>
    </row>
    <row r="36" spans="1:15" ht="19.5" customHeight="1">
      <c r="A36" s="15" t="s">
        <v>177</v>
      </c>
      <c r="B36" s="8" t="s">
        <v>178</v>
      </c>
      <c r="C36" s="5" t="s">
        <v>174</v>
      </c>
      <c r="D36" s="7">
        <v>21</v>
      </c>
      <c r="E36" s="7">
        <v>45</v>
      </c>
      <c r="F36" s="5">
        <f>IFERROR(SUMIF(Purchase_Entry!C:C,A36,Purchase_Entry!F:F),0)</f>
        <v>0</v>
      </c>
      <c r="G36" s="5">
        <f>IFERROR(SUMIF(Sales_Entry!D:D,A36,Sales_Entry!G:G),0)</f>
        <v>0</v>
      </c>
      <c r="H36" s="5">
        <f>F36-G36</f>
        <v>0</v>
      </c>
      <c r="I36" s="5">
        <v>150</v>
      </c>
      <c r="J36" s="7">
        <f>H36*D36</f>
        <v>0</v>
      </c>
      <c r="K36" s="5">
        <f ca="1">IFERROR(Medicine_Master!H36-TODAY(),"")</f>
        <v>561</v>
      </c>
      <c r="L36" s="5" t="str">
        <f ca="1">IFERROR(IF(Medicine_Master!H36&lt;TODAY(),"EXPIRED",IF(Medicine_Master!H36-TODAY()&lt;30,"URGENT",IF(Medicine_Master!H36-TODAY()&lt;60,"WARNING","OK"))),"OK")</f>
        <v>OK</v>
      </c>
      <c r="M36" s="5" t="str">
        <f>IF(H36&lt;I36,"YES","NO")</f>
        <v>YES</v>
      </c>
      <c r="N36" s="5">
        <f>IFERROR(IF(H36&lt;I36,MAX(I36-H36,ROUNDUP(SUMIF(Sales_Entry!D:D,A36,Sales_Entry!G:G)/90*30,0)),0),0)</f>
        <v>150</v>
      </c>
      <c r="O36" s="17" t="str">
        <f ca="1">IFERROR(IF(SUMIF(Sales_Entry!C:C,"&gt;="&amp;(TODAY()-60),Sales_Entry!G:G)=0,"Slow Moving","Active"),"Active")</f>
        <v>Active</v>
      </c>
    </row>
    <row r="37" spans="1:15" ht="19.5" customHeight="1">
      <c r="A37" s="16" t="s">
        <v>179</v>
      </c>
      <c r="B37" s="9" t="s">
        <v>180</v>
      </c>
      <c r="C37" s="2" t="s">
        <v>174</v>
      </c>
      <c r="D37" s="4">
        <v>26</v>
      </c>
      <c r="E37" s="4">
        <v>55</v>
      </c>
      <c r="F37" s="2">
        <f>IFERROR(SUMIF(Purchase_Entry!C:C,A37,Purchase_Entry!F:F),0)</f>
        <v>72</v>
      </c>
      <c r="G37" s="2">
        <f>IFERROR(SUMIF(Sales_Entry!D:D,A37,Sales_Entry!G:G),0)</f>
        <v>0</v>
      </c>
      <c r="H37" s="2">
        <f>F37-G37</f>
        <v>72</v>
      </c>
      <c r="I37" s="2">
        <v>130</v>
      </c>
      <c r="J37" s="4">
        <f>H37*D37</f>
        <v>1872</v>
      </c>
      <c r="K37" s="2">
        <f ca="1">IFERROR(Medicine_Master!H37-TODAY(),"")</f>
        <v>43</v>
      </c>
      <c r="L37" s="2" t="str">
        <f ca="1">IFERROR(IF(Medicine_Master!H37&lt;TODAY(),"EXPIRED",IF(Medicine_Master!H37-TODAY()&lt;30,"URGENT",IF(Medicine_Master!H37-TODAY()&lt;60,"WARNING","OK"))),"OK")</f>
        <v>WARNING</v>
      </c>
      <c r="M37" s="2" t="str">
        <f>IF(H37&lt;I37,"YES","NO")</f>
        <v>YES</v>
      </c>
      <c r="N37" s="2">
        <f>IFERROR(IF(H37&lt;I37,MAX(I37-H37,ROUNDUP(SUMIF(Sales_Entry!D:D,A37,Sales_Entry!G:G)/90*30,0)),0),0)</f>
        <v>58</v>
      </c>
      <c r="O37" s="18" t="str">
        <f ca="1">IFERROR(IF(SUMIF(Sales_Entry!C:C,"&gt;="&amp;(TODAY()-60),Sales_Entry!G:G)=0,"Slow Moving","Active"),"Active")</f>
        <v>Active</v>
      </c>
    </row>
    <row r="38" spans="1:15" ht="19.5" customHeight="1">
      <c r="A38" s="15" t="s">
        <v>181</v>
      </c>
      <c r="B38" s="8" t="s">
        <v>182</v>
      </c>
      <c r="C38" s="5" t="s">
        <v>174</v>
      </c>
      <c r="D38" s="7">
        <v>41</v>
      </c>
      <c r="E38" s="7">
        <v>85</v>
      </c>
      <c r="F38" s="5">
        <f>IFERROR(SUMIF(Purchase_Entry!C:C,A38,Purchase_Entry!F:F),0)</f>
        <v>443</v>
      </c>
      <c r="G38" s="5">
        <f>IFERROR(SUMIF(Sales_Entry!D:D,A38,Sales_Entry!G:G),0)</f>
        <v>46</v>
      </c>
      <c r="H38" s="5">
        <f>F38-G38</f>
        <v>397</v>
      </c>
      <c r="I38" s="5">
        <v>100</v>
      </c>
      <c r="J38" s="7">
        <f>H38*D38</f>
        <v>16277</v>
      </c>
      <c r="K38" s="5">
        <f ca="1">IFERROR(Medicine_Master!H38-TODAY(),"")</f>
        <v>56</v>
      </c>
      <c r="L38" s="5" t="str">
        <f ca="1">IFERROR(IF(Medicine_Master!H38&lt;TODAY(),"EXPIRED",IF(Medicine_Master!H38-TODAY()&lt;30,"URGENT",IF(Medicine_Master!H38-TODAY()&lt;60,"WARNING","OK"))),"OK")</f>
        <v>WARNING</v>
      </c>
      <c r="M38" s="5" t="str">
        <f>IF(H38&lt;I38,"YES","NO")</f>
        <v>NO</v>
      </c>
      <c r="N38" s="5">
        <f>IFERROR(IF(H38&lt;I38,MAX(I38-H38,ROUNDUP(SUMIF(Sales_Entry!D:D,A38,Sales_Entry!G:G)/90*30,0)),0),0)</f>
        <v>0</v>
      </c>
      <c r="O38" s="17" t="str">
        <f ca="1">IFERROR(IF(SUMIF(Sales_Entry!C:C,"&gt;="&amp;(TODAY()-60),Sales_Entry!G:G)=0,"Slow Moving","Active"),"Active")</f>
        <v>Active</v>
      </c>
    </row>
    <row r="39" spans="1:15" ht="19.5" customHeight="1">
      <c r="A39" s="16" t="s">
        <v>183</v>
      </c>
      <c r="B39" s="9" t="s">
        <v>184</v>
      </c>
      <c r="C39" s="2" t="s">
        <v>174</v>
      </c>
      <c r="D39" s="4">
        <v>31</v>
      </c>
      <c r="E39" s="4">
        <v>65</v>
      </c>
      <c r="F39" s="2">
        <f>IFERROR(SUMIF(Purchase_Entry!C:C,A39,Purchase_Entry!F:F),0)</f>
        <v>0</v>
      </c>
      <c r="G39" s="2">
        <f>IFERROR(SUMIF(Sales_Entry!D:D,A39,Sales_Entry!G:G),0)</f>
        <v>0</v>
      </c>
      <c r="H39" s="2">
        <f>F39-G39</f>
        <v>0</v>
      </c>
      <c r="I39" s="2">
        <v>120</v>
      </c>
      <c r="J39" s="4">
        <f>H39*D39</f>
        <v>0</v>
      </c>
      <c r="K39" s="2">
        <f ca="1">IFERROR(Medicine_Master!H39-TODAY(),"")</f>
        <v>571</v>
      </c>
      <c r="L39" s="2" t="str">
        <f ca="1">IFERROR(IF(Medicine_Master!H39&lt;TODAY(),"EXPIRED",IF(Medicine_Master!H39-TODAY()&lt;30,"URGENT",IF(Medicine_Master!H39-TODAY()&lt;60,"WARNING","OK"))),"OK")</f>
        <v>OK</v>
      </c>
      <c r="M39" s="2" t="str">
        <f>IF(H39&lt;I39,"YES","NO")</f>
        <v>YES</v>
      </c>
      <c r="N39" s="2">
        <f>IFERROR(IF(H39&lt;I39,MAX(I39-H39,ROUNDUP(SUMIF(Sales_Entry!D:D,A39,Sales_Entry!G:G)/90*30,0)),0),0)</f>
        <v>120</v>
      </c>
      <c r="O39" s="18" t="str">
        <f ca="1">IFERROR(IF(SUMIF(Sales_Entry!C:C,"&gt;="&amp;(TODAY()-60),Sales_Entry!G:G)=0,"Slow Moving","Active"),"Active")</f>
        <v>Active</v>
      </c>
    </row>
    <row r="40" spans="1:15" ht="19.5" customHeight="1">
      <c r="A40" s="15" t="s">
        <v>185</v>
      </c>
      <c r="B40" s="8" t="s">
        <v>186</v>
      </c>
      <c r="C40" s="5" t="s">
        <v>187</v>
      </c>
      <c r="D40" s="7">
        <v>10</v>
      </c>
      <c r="E40" s="7">
        <v>22</v>
      </c>
      <c r="F40" s="5">
        <f>IFERROR(SUMIF(Purchase_Entry!C:C,A40,Purchase_Entry!F:F),0)</f>
        <v>0</v>
      </c>
      <c r="G40" s="5">
        <f>IFERROR(SUMIF(Sales_Entry!D:D,A40,Sales_Entry!G:G),0)</f>
        <v>0</v>
      </c>
      <c r="H40" s="5">
        <f>F40-G40</f>
        <v>0</v>
      </c>
      <c r="I40" s="5">
        <v>200</v>
      </c>
      <c r="J40" s="7">
        <f>H40*D40</f>
        <v>0</v>
      </c>
      <c r="K40" s="5">
        <f ca="1">IFERROR(Medicine_Master!H40-TODAY(),"")</f>
        <v>708</v>
      </c>
      <c r="L40" s="5" t="str">
        <f ca="1">IFERROR(IF(Medicine_Master!H40&lt;TODAY(),"EXPIRED",IF(Medicine_Master!H40-TODAY()&lt;30,"URGENT",IF(Medicine_Master!H40-TODAY()&lt;60,"WARNING","OK"))),"OK")</f>
        <v>OK</v>
      </c>
      <c r="M40" s="5" t="str">
        <f>IF(H40&lt;I40,"YES","NO")</f>
        <v>YES</v>
      </c>
      <c r="N40" s="5">
        <f>IFERROR(IF(H40&lt;I40,MAX(I40-H40,ROUNDUP(SUMIF(Sales_Entry!D:D,A40,Sales_Entry!G:G)/90*30,0)),0),0)</f>
        <v>200</v>
      </c>
      <c r="O40" s="17" t="str">
        <f ca="1">IFERROR(IF(SUMIF(Sales_Entry!C:C,"&gt;="&amp;(TODAY()-60),Sales_Entry!G:G)=0,"Slow Moving","Active"),"Active")</f>
        <v>Active</v>
      </c>
    </row>
    <row r="41" spans="1:15" ht="19.5" customHeight="1">
      <c r="A41" s="16" t="s">
        <v>188</v>
      </c>
      <c r="B41" s="9" t="s">
        <v>189</v>
      </c>
      <c r="C41" s="2" t="s">
        <v>187</v>
      </c>
      <c r="D41" s="4">
        <v>13</v>
      </c>
      <c r="E41" s="4">
        <v>28</v>
      </c>
      <c r="F41" s="2">
        <f>IFERROR(SUMIF(Purchase_Entry!C:C,A41,Purchase_Entry!F:F),0)</f>
        <v>201</v>
      </c>
      <c r="G41" s="2">
        <f>IFERROR(SUMIF(Sales_Entry!D:D,A41,Sales_Entry!G:G),0)</f>
        <v>6</v>
      </c>
      <c r="H41" s="2">
        <f>F41-G41</f>
        <v>195</v>
      </c>
      <c r="I41" s="2">
        <v>150</v>
      </c>
      <c r="J41" s="4">
        <f>H41*D41</f>
        <v>2535</v>
      </c>
      <c r="K41" s="2">
        <f ca="1">IFERROR(Medicine_Master!H41-TODAY(),"")</f>
        <v>661</v>
      </c>
      <c r="L41" s="2" t="str">
        <f ca="1">IFERROR(IF(Medicine_Master!H41&lt;TODAY(),"EXPIRED",IF(Medicine_Master!H41-TODAY()&lt;30,"URGENT",IF(Medicine_Master!H41-TODAY()&lt;60,"WARNING","OK"))),"OK")</f>
        <v>OK</v>
      </c>
      <c r="M41" s="2" t="str">
        <f>IF(H41&lt;I41,"YES","NO")</f>
        <v>NO</v>
      </c>
      <c r="N41" s="2">
        <f>IFERROR(IF(H41&lt;I41,MAX(I41-H41,ROUNDUP(SUMIF(Sales_Entry!D:D,A41,Sales_Entry!G:G)/90*30,0)),0),0)</f>
        <v>0</v>
      </c>
      <c r="O41" s="18" t="str">
        <f ca="1">IFERROR(IF(SUMIF(Sales_Entry!C:C,"&gt;="&amp;(TODAY()-60),Sales_Entry!G:G)=0,"Slow Moving","Active"),"Active")</f>
        <v>Active</v>
      </c>
    </row>
    <row r="42" spans="1:15" ht="19.5" customHeight="1">
      <c r="A42" s="15" t="s">
        <v>190</v>
      </c>
      <c r="B42" s="8" t="s">
        <v>191</v>
      </c>
      <c r="C42" s="5" t="s">
        <v>187</v>
      </c>
      <c r="D42" s="7">
        <v>31</v>
      </c>
      <c r="E42" s="7">
        <v>65</v>
      </c>
      <c r="F42" s="5">
        <f>IFERROR(SUMIF(Purchase_Entry!C:C,A42,Purchase_Entry!F:F),0)</f>
        <v>0</v>
      </c>
      <c r="G42" s="5">
        <f>IFERROR(SUMIF(Sales_Entry!D:D,A42,Sales_Entry!G:G),0)</f>
        <v>0</v>
      </c>
      <c r="H42" s="5">
        <f>F42-G42</f>
        <v>0</v>
      </c>
      <c r="I42" s="5">
        <v>100</v>
      </c>
      <c r="J42" s="7">
        <f>H42*D42</f>
        <v>0</v>
      </c>
      <c r="K42" s="5">
        <f ca="1">IFERROR(Medicine_Master!H42-TODAY(),"")</f>
        <v>39</v>
      </c>
      <c r="L42" s="5" t="str">
        <f ca="1">IFERROR(IF(Medicine_Master!H42&lt;TODAY(),"EXPIRED",IF(Medicine_Master!H42-TODAY()&lt;30,"URGENT",IF(Medicine_Master!H42-TODAY()&lt;60,"WARNING","OK"))),"OK")</f>
        <v>WARNING</v>
      </c>
      <c r="M42" s="5" t="str">
        <f>IF(H42&lt;I42,"YES","NO")</f>
        <v>YES</v>
      </c>
      <c r="N42" s="5">
        <f>IFERROR(IF(H42&lt;I42,MAX(I42-H42,ROUNDUP(SUMIF(Sales_Entry!D:D,A42,Sales_Entry!G:G)/90*30,0)),0),0)</f>
        <v>100</v>
      </c>
      <c r="O42" s="17" t="str">
        <f ca="1">IFERROR(IF(SUMIF(Sales_Entry!C:C,"&gt;="&amp;(TODAY()-60),Sales_Entry!G:G)=0,"Slow Moving","Active"),"Active")</f>
        <v>Active</v>
      </c>
    </row>
    <row r="43" spans="1:15" ht="19.5" customHeight="1">
      <c r="A43" s="16" t="s">
        <v>192</v>
      </c>
      <c r="B43" s="9" t="s">
        <v>193</v>
      </c>
      <c r="C43" s="2" t="s">
        <v>187</v>
      </c>
      <c r="D43" s="4">
        <v>7</v>
      </c>
      <c r="E43" s="4">
        <v>15</v>
      </c>
      <c r="F43" s="2">
        <f>IFERROR(SUMIF(Purchase_Entry!C:C,A43,Purchase_Entry!F:F),0)</f>
        <v>166</v>
      </c>
      <c r="G43" s="2">
        <f>IFERROR(SUMIF(Sales_Entry!D:D,A43,Sales_Entry!G:G),0)</f>
        <v>10</v>
      </c>
      <c r="H43" s="2">
        <f>F43-G43</f>
        <v>156</v>
      </c>
      <c r="I43" s="2">
        <v>200</v>
      </c>
      <c r="J43" s="4">
        <f>H43*D43</f>
        <v>1092</v>
      </c>
      <c r="K43" s="2">
        <f ca="1">IFERROR(Medicine_Master!H43-TODAY(),"")</f>
        <v>289</v>
      </c>
      <c r="L43" s="2" t="str">
        <f ca="1">IFERROR(IF(Medicine_Master!H43&lt;TODAY(),"EXPIRED",IF(Medicine_Master!H43-TODAY()&lt;30,"URGENT",IF(Medicine_Master!H43-TODAY()&lt;60,"WARNING","OK"))),"OK")</f>
        <v>OK</v>
      </c>
      <c r="M43" s="2" t="str">
        <f>IF(H43&lt;I43,"YES","NO")</f>
        <v>YES</v>
      </c>
      <c r="N43" s="2">
        <f>IFERROR(IF(H43&lt;I43,MAX(I43-H43,ROUNDUP(SUMIF(Sales_Entry!D:D,A43,Sales_Entry!G:G)/90*30,0)),0),0)</f>
        <v>44</v>
      </c>
      <c r="O43" s="18" t="str">
        <f ca="1">IFERROR(IF(SUMIF(Sales_Entry!C:C,"&gt;="&amp;(TODAY()-60),Sales_Entry!G:G)=0,"Slow Moving","Active"),"Active")</f>
        <v>Active</v>
      </c>
    </row>
    <row r="44" spans="1:15" ht="19.5" customHeight="1">
      <c r="A44" s="15" t="s">
        <v>194</v>
      </c>
      <c r="B44" s="8" t="s">
        <v>195</v>
      </c>
      <c r="C44" s="5" t="s">
        <v>187</v>
      </c>
      <c r="D44" s="7">
        <v>36</v>
      </c>
      <c r="E44" s="7">
        <v>75</v>
      </c>
      <c r="F44" s="5">
        <f>IFERROR(SUMIF(Purchase_Entry!C:C,A44,Purchase_Entry!F:F),0)</f>
        <v>86</v>
      </c>
      <c r="G44" s="5">
        <f>IFERROR(SUMIF(Sales_Entry!D:D,A44,Sales_Entry!G:G),0)</f>
        <v>0</v>
      </c>
      <c r="H44" s="5">
        <f>F44-G44</f>
        <v>86</v>
      </c>
      <c r="I44" s="5">
        <v>100</v>
      </c>
      <c r="J44" s="7">
        <f>H44*D44</f>
        <v>3096</v>
      </c>
      <c r="K44" s="5">
        <f ca="1">IFERROR(Medicine_Master!H44-TODAY(),"")</f>
        <v>510</v>
      </c>
      <c r="L44" s="5" t="str">
        <f ca="1">IFERROR(IF(Medicine_Master!H44&lt;TODAY(),"EXPIRED",IF(Medicine_Master!H44-TODAY()&lt;30,"URGENT",IF(Medicine_Master!H44-TODAY()&lt;60,"WARNING","OK"))),"OK")</f>
        <v>OK</v>
      </c>
      <c r="M44" s="5" t="str">
        <f>IF(H44&lt;I44,"YES","NO")</f>
        <v>YES</v>
      </c>
      <c r="N44" s="5">
        <f>IFERROR(IF(H44&lt;I44,MAX(I44-H44,ROUNDUP(SUMIF(Sales_Entry!D:D,A44,Sales_Entry!G:G)/90*30,0)),0),0)</f>
        <v>14</v>
      </c>
      <c r="O44" s="17" t="str">
        <f ca="1">IFERROR(IF(SUMIF(Sales_Entry!C:C,"&gt;="&amp;(TODAY()-60),Sales_Entry!G:G)=0,"Slow Moving","Active"),"Active")</f>
        <v>Active</v>
      </c>
    </row>
    <row r="45" spans="1:15" ht="19.5" customHeight="1">
      <c r="A45" s="16" t="s">
        <v>196</v>
      </c>
      <c r="B45" s="9" t="s">
        <v>197</v>
      </c>
      <c r="C45" s="2" t="s">
        <v>198</v>
      </c>
      <c r="D45" s="4">
        <v>90</v>
      </c>
      <c r="E45" s="4">
        <v>185</v>
      </c>
      <c r="F45" s="2">
        <f>IFERROR(SUMIF(Purchase_Entry!C:C,A45,Purchase_Entry!F:F),0)</f>
        <v>60</v>
      </c>
      <c r="G45" s="2">
        <f>IFERROR(SUMIF(Sales_Entry!D:D,A45,Sales_Entry!G:G),0)</f>
        <v>66</v>
      </c>
      <c r="H45" s="2">
        <f>F45-G45</f>
        <v>-6</v>
      </c>
      <c r="I45" s="2">
        <v>40</v>
      </c>
      <c r="J45" s="4">
        <f>H45*D45</f>
        <v>-540</v>
      </c>
      <c r="K45" s="2">
        <f ca="1">IFERROR(Medicine_Master!H45-TODAY(),"")</f>
        <v>402</v>
      </c>
      <c r="L45" s="2" t="str">
        <f ca="1">IFERROR(IF(Medicine_Master!H45&lt;TODAY(),"EXPIRED",IF(Medicine_Master!H45-TODAY()&lt;30,"URGENT",IF(Medicine_Master!H45-TODAY()&lt;60,"WARNING","OK"))),"OK")</f>
        <v>OK</v>
      </c>
      <c r="M45" s="2" t="str">
        <f>IF(H45&lt;I45,"YES","NO")</f>
        <v>YES</v>
      </c>
      <c r="N45" s="2">
        <f>IFERROR(IF(H45&lt;I45,MAX(I45-H45,ROUNDUP(SUMIF(Sales_Entry!D:D,A45,Sales_Entry!G:G)/90*30,0)),0),0)</f>
        <v>46</v>
      </c>
      <c r="O45" s="18" t="str">
        <f ca="1">IFERROR(IF(SUMIF(Sales_Entry!C:C,"&gt;="&amp;(TODAY()-60),Sales_Entry!G:G)=0,"Slow Moving","Active"),"Active")</f>
        <v>Active</v>
      </c>
    </row>
    <row r="46" spans="1:15" ht="19.5" customHeight="1">
      <c r="A46" s="15" t="s">
        <v>200</v>
      </c>
      <c r="B46" s="8" t="s">
        <v>201</v>
      </c>
      <c r="C46" s="5" t="s">
        <v>198</v>
      </c>
      <c r="D46" s="7">
        <v>85</v>
      </c>
      <c r="E46" s="7">
        <v>175</v>
      </c>
      <c r="F46" s="5">
        <f>IFERROR(SUMIF(Purchase_Entry!C:C,A46,Purchase_Entry!F:F),0)</f>
        <v>629</v>
      </c>
      <c r="G46" s="5">
        <f>IFERROR(SUMIF(Sales_Entry!D:D,A46,Sales_Entry!G:G),0)</f>
        <v>0</v>
      </c>
      <c r="H46" s="5">
        <f>F46-G46</f>
        <v>629</v>
      </c>
      <c r="I46" s="5">
        <v>40</v>
      </c>
      <c r="J46" s="7">
        <f>H46*D46</f>
        <v>53465</v>
      </c>
      <c r="K46" s="5">
        <f ca="1">IFERROR(Medicine_Master!H46-TODAY(),"")</f>
        <v>463</v>
      </c>
      <c r="L46" s="5" t="str">
        <f ca="1">IFERROR(IF(Medicine_Master!H46&lt;TODAY(),"EXPIRED",IF(Medicine_Master!H46-TODAY()&lt;30,"URGENT",IF(Medicine_Master!H46-TODAY()&lt;60,"WARNING","OK"))),"OK")</f>
        <v>OK</v>
      </c>
      <c r="M46" s="5" t="str">
        <f>IF(H46&lt;I46,"YES","NO")</f>
        <v>NO</v>
      </c>
      <c r="N46" s="5">
        <f>IFERROR(IF(H46&lt;I46,MAX(I46-H46,ROUNDUP(SUMIF(Sales_Entry!D:D,A46,Sales_Entry!G:G)/90*30,0)),0),0)</f>
        <v>0</v>
      </c>
      <c r="O46" s="17" t="str">
        <f ca="1">IFERROR(IF(SUMIF(Sales_Entry!C:C,"&gt;="&amp;(TODAY()-60),Sales_Entry!G:G)=0,"Slow Moving","Active"),"Active")</f>
        <v>Active</v>
      </c>
    </row>
    <row r="47" spans="1:15" ht="19.5" customHeight="1">
      <c r="A47" s="16" t="s">
        <v>202</v>
      </c>
      <c r="B47" s="9" t="s">
        <v>203</v>
      </c>
      <c r="C47" s="2" t="s">
        <v>198</v>
      </c>
      <c r="D47" s="4">
        <v>70</v>
      </c>
      <c r="E47" s="4">
        <v>145</v>
      </c>
      <c r="F47" s="2">
        <f>IFERROR(SUMIF(Purchase_Entry!C:C,A47,Purchase_Entry!F:F),0)</f>
        <v>749</v>
      </c>
      <c r="G47" s="2">
        <f>IFERROR(SUMIF(Sales_Entry!D:D,A47,Sales_Entry!G:G),0)</f>
        <v>0</v>
      </c>
      <c r="H47" s="2">
        <f>F47-G47</f>
        <v>749</v>
      </c>
      <c r="I47" s="2">
        <v>50</v>
      </c>
      <c r="J47" s="4">
        <f>H47*D47</f>
        <v>52430</v>
      </c>
      <c r="K47" s="2">
        <f ca="1">IFERROR(Medicine_Master!H47-TODAY(),"")</f>
        <v>384</v>
      </c>
      <c r="L47" s="2" t="str">
        <f ca="1">IFERROR(IF(Medicine_Master!H47&lt;TODAY(),"EXPIRED",IF(Medicine_Master!H47-TODAY()&lt;30,"URGENT",IF(Medicine_Master!H47-TODAY()&lt;60,"WARNING","OK"))),"OK")</f>
        <v>OK</v>
      </c>
      <c r="M47" s="2" t="str">
        <f>IF(H47&lt;I47,"YES","NO")</f>
        <v>NO</v>
      </c>
      <c r="N47" s="2">
        <f>IFERROR(IF(H47&lt;I47,MAX(I47-H47,ROUNDUP(SUMIF(Sales_Entry!D:D,A47,Sales_Entry!G:G)/90*30,0)),0),0)</f>
        <v>0</v>
      </c>
      <c r="O47" s="18" t="str">
        <f ca="1">IFERROR(IF(SUMIF(Sales_Entry!C:C,"&gt;="&amp;(TODAY()-60),Sales_Entry!G:G)=0,"Slow Moving","Active"),"Active")</f>
        <v>Active</v>
      </c>
    </row>
    <row r="48" spans="1:15" ht="19.5" customHeight="1">
      <c r="A48" s="15" t="s">
        <v>204</v>
      </c>
      <c r="B48" s="8" t="s">
        <v>205</v>
      </c>
      <c r="C48" s="5" t="s">
        <v>198</v>
      </c>
      <c r="D48" s="7">
        <v>41</v>
      </c>
      <c r="E48" s="7">
        <v>85</v>
      </c>
      <c r="F48" s="5">
        <f>IFERROR(SUMIF(Purchase_Entry!C:C,A48,Purchase_Entry!F:F),0)</f>
        <v>457</v>
      </c>
      <c r="G48" s="5">
        <f>IFERROR(SUMIF(Sales_Entry!D:D,A48,Sales_Entry!G:G),0)</f>
        <v>0</v>
      </c>
      <c r="H48" s="5">
        <f>F48-G48</f>
        <v>457</v>
      </c>
      <c r="I48" s="5">
        <v>60</v>
      </c>
      <c r="J48" s="7">
        <f>H48*D48</f>
        <v>18737</v>
      </c>
      <c r="K48" s="5">
        <f ca="1">IFERROR(Medicine_Master!H48-TODAY(),"")</f>
        <v>249</v>
      </c>
      <c r="L48" s="5" t="str">
        <f ca="1">IFERROR(IF(Medicine_Master!H48&lt;TODAY(),"EXPIRED",IF(Medicine_Master!H48-TODAY()&lt;30,"URGENT",IF(Medicine_Master!H48-TODAY()&lt;60,"WARNING","OK"))),"OK")</f>
        <v>OK</v>
      </c>
      <c r="M48" s="5" t="str">
        <f>IF(H48&lt;I48,"YES","NO")</f>
        <v>NO</v>
      </c>
      <c r="N48" s="5">
        <f>IFERROR(IF(H48&lt;I48,MAX(I48-H48,ROUNDUP(SUMIF(Sales_Entry!D:D,A48,Sales_Entry!G:G)/90*30,0)),0),0)</f>
        <v>0</v>
      </c>
      <c r="O48" s="17" t="str">
        <f ca="1">IFERROR(IF(SUMIF(Sales_Entry!C:C,"&gt;="&amp;(TODAY()-60),Sales_Entry!G:G)=0,"Slow Moving","Active"),"Active")</f>
        <v>Active</v>
      </c>
    </row>
    <row r="49" spans="1:15" ht="19.5" customHeight="1">
      <c r="A49" s="16" t="s">
        <v>206</v>
      </c>
      <c r="B49" s="9" t="s">
        <v>207</v>
      </c>
      <c r="C49" s="2" t="s">
        <v>198</v>
      </c>
      <c r="D49" s="4">
        <v>80</v>
      </c>
      <c r="E49" s="4">
        <v>165</v>
      </c>
      <c r="F49" s="2">
        <f>IFERROR(SUMIF(Purchase_Entry!C:C,A49,Purchase_Entry!F:F),0)</f>
        <v>0</v>
      </c>
      <c r="G49" s="2">
        <f>IFERROR(SUMIF(Sales_Entry!D:D,A49,Sales_Entry!G:G),0)</f>
        <v>0</v>
      </c>
      <c r="H49" s="2">
        <f>F49-G49</f>
        <v>0</v>
      </c>
      <c r="I49" s="2">
        <v>40</v>
      </c>
      <c r="J49" s="4">
        <f>H49*D49</f>
        <v>0</v>
      </c>
      <c r="K49" s="2">
        <f ca="1">IFERROR(Medicine_Master!H49-TODAY(),"")</f>
        <v>718</v>
      </c>
      <c r="L49" s="2" t="str">
        <f ca="1">IFERROR(IF(Medicine_Master!H49&lt;TODAY(),"EXPIRED",IF(Medicine_Master!H49-TODAY()&lt;30,"URGENT",IF(Medicine_Master!H49-TODAY()&lt;60,"WARNING","OK"))),"OK")</f>
        <v>OK</v>
      </c>
      <c r="M49" s="2" t="str">
        <f>IF(H49&lt;I49,"YES","NO")</f>
        <v>YES</v>
      </c>
      <c r="N49" s="2">
        <f>IFERROR(IF(H49&lt;I49,MAX(I49-H49,ROUNDUP(SUMIF(Sales_Entry!D:D,A49,Sales_Entry!G:G)/90*30,0)),0),0)</f>
        <v>40</v>
      </c>
      <c r="O49" s="18" t="str">
        <f ca="1">IFERROR(IF(SUMIF(Sales_Entry!C:C,"&gt;="&amp;(TODAY()-60),Sales_Entry!G:G)=0,"Slow Moving","Active"),"Active")</f>
        <v>Active</v>
      </c>
    </row>
    <row r="50" spans="1:15" ht="19.5" customHeight="1">
      <c r="A50" s="15" t="s">
        <v>209</v>
      </c>
      <c r="B50" s="8" t="s">
        <v>210</v>
      </c>
      <c r="C50" s="5" t="s">
        <v>211</v>
      </c>
      <c r="D50" s="7">
        <v>46</v>
      </c>
      <c r="E50" s="7">
        <v>95</v>
      </c>
      <c r="F50" s="5">
        <f>IFERROR(SUMIF(Purchase_Entry!C:C,A50,Purchase_Entry!F:F),0)</f>
        <v>684</v>
      </c>
      <c r="G50" s="5">
        <f>IFERROR(SUMIF(Sales_Entry!D:D,A50,Sales_Entry!G:G),0)</f>
        <v>0</v>
      </c>
      <c r="H50" s="5">
        <f>F50-G50</f>
        <v>684</v>
      </c>
      <c r="I50" s="5">
        <v>80</v>
      </c>
      <c r="J50" s="7">
        <f>H50*D50</f>
        <v>31464</v>
      </c>
      <c r="K50" s="5">
        <f ca="1">IFERROR(Medicine_Master!H50-TODAY(),"")</f>
        <v>20</v>
      </c>
      <c r="L50" s="5" t="str">
        <f ca="1">IFERROR(IF(Medicine_Master!H50&lt;TODAY(),"EXPIRED",IF(Medicine_Master!H50-TODAY()&lt;30,"URGENT",IF(Medicine_Master!H50-TODAY()&lt;60,"WARNING","OK"))),"OK")</f>
        <v>URGENT</v>
      </c>
      <c r="M50" s="5" t="str">
        <f>IF(H50&lt;I50,"YES","NO")</f>
        <v>NO</v>
      </c>
      <c r="N50" s="5">
        <f>IFERROR(IF(H50&lt;I50,MAX(I50-H50,ROUNDUP(SUMIF(Sales_Entry!D:D,A50,Sales_Entry!G:G)/90*30,0)),0),0)</f>
        <v>0</v>
      </c>
      <c r="O50" s="17" t="str">
        <f ca="1">IFERROR(IF(SUMIF(Sales_Entry!C:C,"&gt;="&amp;(TODAY()-60),Sales_Entry!G:G)=0,"Slow Moving","Active"),"Active")</f>
        <v>Active</v>
      </c>
    </row>
    <row r="51" spans="1:15" ht="19.5" customHeight="1">
      <c r="A51" s="16" t="s">
        <v>213</v>
      </c>
      <c r="B51" s="9" t="s">
        <v>214</v>
      </c>
      <c r="C51" s="2" t="s">
        <v>211</v>
      </c>
      <c r="D51" s="4">
        <v>41</v>
      </c>
      <c r="E51" s="4">
        <v>85</v>
      </c>
      <c r="F51" s="2">
        <f>IFERROR(SUMIF(Purchase_Entry!C:C,A51,Purchase_Entry!F:F),0)</f>
        <v>345</v>
      </c>
      <c r="G51" s="2">
        <f>IFERROR(SUMIF(Sales_Entry!D:D,A51,Sales_Entry!G:G),0)</f>
        <v>0</v>
      </c>
      <c r="H51" s="2">
        <f>F51-G51</f>
        <v>345</v>
      </c>
      <c r="I51" s="2">
        <v>80</v>
      </c>
      <c r="J51" s="4">
        <f>H51*D51</f>
        <v>14145</v>
      </c>
      <c r="K51" s="2">
        <f ca="1">IFERROR(Medicine_Master!H51-TODAY(),"")</f>
        <v>728</v>
      </c>
      <c r="L51" s="2" t="str">
        <f ca="1">IFERROR(IF(Medicine_Master!H51&lt;TODAY(),"EXPIRED",IF(Medicine_Master!H51-TODAY()&lt;30,"URGENT",IF(Medicine_Master!H51-TODAY()&lt;60,"WARNING","OK"))),"OK")</f>
        <v>OK</v>
      </c>
      <c r="M51" s="2" t="str">
        <f>IF(H51&lt;I51,"YES","NO")</f>
        <v>NO</v>
      </c>
      <c r="N51" s="2">
        <f>IFERROR(IF(H51&lt;I51,MAX(I51-H51,ROUNDUP(SUMIF(Sales_Entry!D:D,A51,Sales_Entry!G:G)/90*30,0)),0),0)</f>
        <v>0</v>
      </c>
      <c r="O51" s="18" t="str">
        <f ca="1">IFERROR(IF(SUMIF(Sales_Entry!C:C,"&gt;="&amp;(TODAY()-60),Sales_Entry!G:G)=0,"Slow Moving","Active"),"Active")</f>
        <v>Active</v>
      </c>
    </row>
    <row r="52" spans="1:15" ht="19.5" customHeight="1">
      <c r="A52" s="15" t="s">
        <v>215</v>
      </c>
      <c r="B52" s="8" t="s">
        <v>216</v>
      </c>
      <c r="C52" s="5" t="s">
        <v>211</v>
      </c>
      <c r="D52" s="7">
        <v>17</v>
      </c>
      <c r="E52" s="7">
        <v>35</v>
      </c>
      <c r="F52" s="5">
        <f>IFERROR(SUMIF(Purchase_Entry!C:C,A52,Purchase_Entry!F:F),0)</f>
        <v>190</v>
      </c>
      <c r="G52" s="5">
        <f>IFERROR(SUMIF(Sales_Entry!D:D,A52,Sales_Entry!G:G),0)</f>
        <v>39</v>
      </c>
      <c r="H52" s="5">
        <f>F52-G52</f>
        <v>151</v>
      </c>
      <c r="I52" s="5">
        <v>100</v>
      </c>
      <c r="J52" s="7">
        <f>H52*D52</f>
        <v>2567</v>
      </c>
      <c r="K52" s="5">
        <f ca="1">IFERROR(Medicine_Master!H52-TODAY(),"")</f>
        <v>-29</v>
      </c>
      <c r="L52" s="5" t="str">
        <f ca="1">IFERROR(IF(Medicine_Master!H52&lt;TODAY(),"EXPIRED",IF(Medicine_Master!H52-TODAY()&lt;30,"URGENT",IF(Medicine_Master!H52-TODAY()&lt;60,"WARNING","OK"))),"OK")</f>
        <v>EXPIRED</v>
      </c>
      <c r="M52" s="5" t="str">
        <f>IF(H52&lt;I52,"YES","NO")</f>
        <v>NO</v>
      </c>
      <c r="N52" s="5">
        <f>IFERROR(IF(H52&lt;I52,MAX(I52-H52,ROUNDUP(SUMIF(Sales_Entry!D:D,A52,Sales_Entry!G:G)/90*30,0)),0),0)</f>
        <v>0</v>
      </c>
      <c r="O52" s="17" t="str">
        <f ca="1">IFERROR(IF(SUMIF(Sales_Entry!C:C,"&gt;="&amp;(TODAY()-60),Sales_Entry!G:G)=0,"Slow Moving","Active"),"Active")</f>
        <v>Active</v>
      </c>
    </row>
    <row r="53" spans="1:15" ht="19.5" customHeight="1">
      <c r="A53" s="16" t="s">
        <v>217</v>
      </c>
      <c r="B53" s="9" t="s">
        <v>35</v>
      </c>
      <c r="C53" s="2" t="s">
        <v>211</v>
      </c>
      <c r="D53" s="4">
        <v>21</v>
      </c>
      <c r="E53" s="4">
        <v>45</v>
      </c>
      <c r="F53" s="2">
        <f>IFERROR(SUMIF(Purchase_Entry!C:C,A53,Purchase_Entry!F:F),0)</f>
        <v>1141</v>
      </c>
      <c r="G53" s="2">
        <f>IFERROR(SUMIF(Sales_Entry!D:D,A53,Sales_Entry!G:G),0)</f>
        <v>96</v>
      </c>
      <c r="H53" s="2">
        <f>F53-G53</f>
        <v>1045</v>
      </c>
      <c r="I53" s="2">
        <v>80</v>
      </c>
      <c r="J53" s="4">
        <f>H53*D53</f>
        <v>21945</v>
      </c>
      <c r="K53" s="2">
        <f ca="1">IFERROR(Medicine_Master!H53-TODAY(),"")</f>
        <v>4</v>
      </c>
      <c r="L53" s="2" t="str">
        <f ca="1">IFERROR(IF(Medicine_Master!H53&lt;TODAY(),"EXPIRED",IF(Medicine_Master!H53-TODAY()&lt;30,"URGENT",IF(Medicine_Master!H53-TODAY()&lt;60,"WARNING","OK"))),"OK")</f>
        <v>URGENT</v>
      </c>
      <c r="M53" s="2" t="str">
        <f>IF(H53&lt;I53,"YES","NO")</f>
        <v>NO</v>
      </c>
      <c r="N53" s="2">
        <f>IFERROR(IF(H53&lt;I53,MAX(I53-H53,ROUNDUP(SUMIF(Sales_Entry!D:D,A53,Sales_Entry!G:G)/90*30,0)),0),0)</f>
        <v>0</v>
      </c>
      <c r="O53" s="18" t="str">
        <f ca="1">IFERROR(IF(SUMIF(Sales_Entry!C:C,"&gt;="&amp;(TODAY()-60),Sales_Entry!G:G)=0,"Slow Moving","Active"),"Active")</f>
        <v>Active</v>
      </c>
    </row>
    <row r="54" spans="1:15" ht="19.5" customHeight="1">
      <c r="A54" s="15" t="s">
        <v>218</v>
      </c>
      <c r="B54" s="8" t="s">
        <v>219</v>
      </c>
      <c r="C54" s="5" t="s">
        <v>211</v>
      </c>
      <c r="D54" s="7">
        <v>18</v>
      </c>
      <c r="E54" s="7">
        <v>38</v>
      </c>
      <c r="F54" s="5">
        <f>IFERROR(SUMIF(Purchase_Entry!C:C,A54,Purchase_Entry!F:F),0)</f>
        <v>0</v>
      </c>
      <c r="G54" s="5">
        <f>IFERROR(SUMIF(Sales_Entry!D:D,A54,Sales_Entry!G:G),0)</f>
        <v>0</v>
      </c>
      <c r="H54" s="5">
        <f>F54-G54</f>
        <v>0</v>
      </c>
      <c r="I54" s="5">
        <v>100</v>
      </c>
      <c r="J54" s="7">
        <f>H54*D54</f>
        <v>0</v>
      </c>
      <c r="K54" s="5">
        <f ca="1">IFERROR(Medicine_Master!H54-TODAY(),"")</f>
        <v>27</v>
      </c>
      <c r="L54" s="5" t="str">
        <f ca="1">IFERROR(IF(Medicine_Master!H54&lt;TODAY(),"EXPIRED",IF(Medicine_Master!H54-TODAY()&lt;30,"URGENT",IF(Medicine_Master!H54-TODAY()&lt;60,"WARNING","OK"))),"OK")</f>
        <v>URGENT</v>
      </c>
      <c r="M54" s="5" t="str">
        <f>IF(H54&lt;I54,"YES","NO")</f>
        <v>YES</v>
      </c>
      <c r="N54" s="5">
        <f>IFERROR(IF(H54&lt;I54,MAX(I54-H54,ROUNDUP(SUMIF(Sales_Entry!D:D,A54,Sales_Entry!G:G)/90*30,0)),0),0)</f>
        <v>100</v>
      </c>
      <c r="O54" s="17" t="str">
        <f ca="1">IFERROR(IF(SUMIF(Sales_Entry!C:C,"&gt;="&amp;(TODAY()-60),Sales_Entry!G:G)=0,"Slow Moving","Active"),"Active")</f>
        <v>Active</v>
      </c>
    </row>
    <row r="55" spans="1:15" ht="19.5" customHeight="1">
      <c r="A55" s="16" t="s">
        <v>220</v>
      </c>
      <c r="B55" s="9" t="s">
        <v>221</v>
      </c>
      <c r="C55" s="2" t="s">
        <v>211</v>
      </c>
      <c r="D55" s="4">
        <v>36</v>
      </c>
      <c r="E55" s="4">
        <v>75</v>
      </c>
      <c r="F55" s="2">
        <f>IFERROR(SUMIF(Purchase_Entry!C:C,A55,Purchase_Entry!F:F),0)</f>
        <v>81</v>
      </c>
      <c r="G55" s="2">
        <f>IFERROR(SUMIF(Sales_Entry!D:D,A55,Sales_Entry!G:G),0)</f>
        <v>8</v>
      </c>
      <c r="H55" s="2">
        <f>F55-G55</f>
        <v>73</v>
      </c>
      <c r="I55" s="2">
        <v>80</v>
      </c>
      <c r="J55" s="4">
        <f>H55*D55</f>
        <v>2628</v>
      </c>
      <c r="K55" s="2">
        <f ca="1">IFERROR(Medicine_Master!H55-TODAY(),"")</f>
        <v>526</v>
      </c>
      <c r="L55" s="2" t="str">
        <f ca="1">IFERROR(IF(Medicine_Master!H55&lt;TODAY(),"EXPIRED",IF(Medicine_Master!H55-TODAY()&lt;30,"URGENT",IF(Medicine_Master!H55-TODAY()&lt;60,"WARNING","OK"))),"OK")</f>
        <v>OK</v>
      </c>
      <c r="M55" s="2" t="str">
        <f>IF(H55&lt;I55,"YES","NO")</f>
        <v>YES</v>
      </c>
      <c r="N55" s="2">
        <f>IFERROR(IF(H55&lt;I55,MAX(I55-H55,ROUNDUP(SUMIF(Sales_Entry!D:D,A55,Sales_Entry!G:G)/90*30,0)),0),0)</f>
        <v>7</v>
      </c>
      <c r="O55" s="18" t="str">
        <f ca="1">IFERROR(IF(SUMIF(Sales_Entry!C:C,"&gt;="&amp;(TODAY()-60),Sales_Entry!G:G)=0,"Slow Moving","Active"),"Active")</f>
        <v>Active</v>
      </c>
    </row>
    <row r="56" spans="1:15" ht="19.5" customHeight="1">
      <c r="A56" s="15" t="s">
        <v>222</v>
      </c>
      <c r="B56" s="8" t="s">
        <v>223</v>
      </c>
      <c r="C56" s="5" t="s">
        <v>224</v>
      </c>
      <c r="D56" s="7">
        <v>46</v>
      </c>
      <c r="E56" s="7">
        <v>95</v>
      </c>
      <c r="F56" s="5">
        <f>IFERROR(SUMIF(Purchase_Entry!C:C,A56,Purchase_Entry!F:F),0)</f>
        <v>0</v>
      </c>
      <c r="G56" s="5">
        <f>IFERROR(SUMIF(Sales_Entry!D:D,A56,Sales_Entry!G:G),0)</f>
        <v>0</v>
      </c>
      <c r="H56" s="5">
        <f>F56-G56</f>
        <v>0</v>
      </c>
      <c r="I56" s="5">
        <v>60</v>
      </c>
      <c r="J56" s="7">
        <f>H56*D56</f>
        <v>0</v>
      </c>
      <c r="K56" s="5">
        <f ca="1">IFERROR(Medicine_Master!H56-TODAY(),"")</f>
        <v>32</v>
      </c>
      <c r="L56" s="5" t="str">
        <f ca="1">IFERROR(IF(Medicine_Master!H56&lt;TODAY(),"EXPIRED",IF(Medicine_Master!H56-TODAY()&lt;30,"URGENT",IF(Medicine_Master!H56-TODAY()&lt;60,"WARNING","OK"))),"OK")</f>
        <v>WARNING</v>
      </c>
      <c r="M56" s="5" t="str">
        <f>IF(H56&lt;I56,"YES","NO")</f>
        <v>YES</v>
      </c>
      <c r="N56" s="5">
        <f>IFERROR(IF(H56&lt;I56,MAX(I56-H56,ROUNDUP(SUMIF(Sales_Entry!D:D,A56,Sales_Entry!G:G)/90*30,0)),0),0)</f>
        <v>60</v>
      </c>
      <c r="O56" s="17" t="str">
        <f ca="1">IFERROR(IF(SUMIF(Sales_Entry!C:C,"&gt;="&amp;(TODAY()-60),Sales_Entry!G:G)=0,"Slow Moving","Active"),"Active")</f>
        <v>Active</v>
      </c>
    </row>
    <row r="57" spans="1:15" ht="19.5" customHeight="1">
      <c r="A57" s="16" t="s">
        <v>226</v>
      </c>
      <c r="B57" s="9" t="s">
        <v>227</v>
      </c>
      <c r="C57" s="2" t="s">
        <v>224</v>
      </c>
      <c r="D57" s="4">
        <v>41</v>
      </c>
      <c r="E57" s="4">
        <v>85</v>
      </c>
      <c r="F57" s="2">
        <f>IFERROR(SUMIF(Purchase_Entry!C:C,A57,Purchase_Entry!F:F),0)</f>
        <v>111</v>
      </c>
      <c r="G57" s="2">
        <f>IFERROR(SUMIF(Sales_Entry!D:D,A57,Sales_Entry!G:G),0)</f>
        <v>36</v>
      </c>
      <c r="H57" s="2">
        <f>F57-G57</f>
        <v>75</v>
      </c>
      <c r="I57" s="2">
        <v>80</v>
      </c>
      <c r="J57" s="4">
        <f>H57*D57</f>
        <v>3075</v>
      </c>
      <c r="K57" s="2">
        <f ca="1">IFERROR(Medicine_Master!H57-TODAY(),"")</f>
        <v>719</v>
      </c>
      <c r="L57" s="2" t="str">
        <f ca="1">IFERROR(IF(Medicine_Master!H57&lt;TODAY(),"EXPIRED",IF(Medicine_Master!H57-TODAY()&lt;30,"URGENT",IF(Medicine_Master!H57-TODAY()&lt;60,"WARNING","OK"))),"OK")</f>
        <v>OK</v>
      </c>
      <c r="M57" s="2" t="str">
        <f>IF(H57&lt;I57,"YES","NO")</f>
        <v>YES</v>
      </c>
      <c r="N57" s="2">
        <f>IFERROR(IF(H57&lt;I57,MAX(I57-H57,ROUNDUP(SUMIF(Sales_Entry!D:D,A57,Sales_Entry!G:G)/90*30,0)),0),0)</f>
        <v>12</v>
      </c>
      <c r="O57" s="18" t="str">
        <f ca="1">IFERROR(IF(SUMIF(Sales_Entry!C:C,"&gt;="&amp;(TODAY()-60),Sales_Entry!G:G)=0,"Slow Moving","Active"),"Active")</f>
        <v>Active</v>
      </c>
    </row>
    <row r="58" spans="1:15" ht="19.5" customHeight="1">
      <c r="A58" s="15" t="s">
        <v>229</v>
      </c>
      <c r="B58" s="8" t="s">
        <v>230</v>
      </c>
      <c r="C58" s="5" t="s">
        <v>224</v>
      </c>
      <c r="D58" s="7">
        <v>36</v>
      </c>
      <c r="E58" s="7">
        <v>75</v>
      </c>
      <c r="F58" s="5">
        <f>IFERROR(SUMIF(Purchase_Entry!C:C,A58,Purchase_Entry!F:F),0)</f>
        <v>403</v>
      </c>
      <c r="G58" s="5">
        <f>IFERROR(SUMIF(Sales_Entry!D:D,A58,Sales_Entry!G:G),0)</f>
        <v>46</v>
      </c>
      <c r="H58" s="5">
        <f>F58-G58</f>
        <v>357</v>
      </c>
      <c r="I58" s="5">
        <v>80</v>
      </c>
      <c r="J58" s="7">
        <f>H58*D58</f>
        <v>12852</v>
      </c>
      <c r="K58" s="5">
        <f ca="1">IFERROR(Medicine_Master!H58-TODAY(),"")</f>
        <v>-22</v>
      </c>
      <c r="L58" s="5" t="str">
        <f ca="1">IFERROR(IF(Medicine_Master!H58&lt;TODAY(),"EXPIRED",IF(Medicine_Master!H58-TODAY()&lt;30,"URGENT",IF(Medicine_Master!H58-TODAY()&lt;60,"WARNING","OK"))),"OK")</f>
        <v>EXPIRED</v>
      </c>
      <c r="M58" s="5" t="str">
        <f>IF(H58&lt;I58,"YES","NO")</f>
        <v>NO</v>
      </c>
      <c r="N58" s="5">
        <f>IFERROR(IF(H58&lt;I58,MAX(I58-H58,ROUNDUP(SUMIF(Sales_Entry!D:D,A58,Sales_Entry!G:G)/90*30,0)),0),0)</f>
        <v>0</v>
      </c>
      <c r="O58" s="17" t="str">
        <f ca="1">IFERROR(IF(SUMIF(Sales_Entry!C:C,"&gt;="&amp;(TODAY()-60),Sales_Entry!G:G)=0,"Slow Moving","Active"),"Active")</f>
        <v>Active</v>
      </c>
    </row>
    <row r="59" spans="1:15" ht="19.5" customHeight="1">
      <c r="A59" s="16" t="s">
        <v>231</v>
      </c>
      <c r="B59" s="9" t="s">
        <v>232</v>
      </c>
      <c r="C59" s="2" t="s">
        <v>224</v>
      </c>
      <c r="D59" s="4">
        <v>61</v>
      </c>
      <c r="E59" s="4">
        <v>125</v>
      </c>
      <c r="F59" s="2">
        <f>IFERROR(SUMIF(Purchase_Entry!C:C,A59,Purchase_Entry!F:F),0)</f>
        <v>314</v>
      </c>
      <c r="G59" s="2">
        <f>IFERROR(SUMIF(Sales_Entry!D:D,A59,Sales_Entry!G:G),0)</f>
        <v>33</v>
      </c>
      <c r="H59" s="2">
        <f>F59-G59</f>
        <v>281</v>
      </c>
      <c r="I59" s="2">
        <v>60</v>
      </c>
      <c r="J59" s="4">
        <f>H59*D59</f>
        <v>17141</v>
      </c>
      <c r="K59" s="2">
        <f ca="1">IFERROR(Medicine_Master!H59-TODAY(),"")</f>
        <v>405</v>
      </c>
      <c r="L59" s="2" t="str">
        <f ca="1">IFERROR(IF(Medicine_Master!H59&lt;TODAY(),"EXPIRED",IF(Medicine_Master!H59-TODAY()&lt;30,"URGENT",IF(Medicine_Master!H59-TODAY()&lt;60,"WARNING","OK"))),"OK")</f>
        <v>OK</v>
      </c>
      <c r="M59" s="2" t="str">
        <f>IF(H59&lt;I59,"YES","NO")</f>
        <v>NO</v>
      </c>
      <c r="N59" s="2">
        <f>IFERROR(IF(H59&lt;I59,MAX(I59-H59,ROUNDUP(SUMIF(Sales_Entry!D:D,A59,Sales_Entry!G:G)/90*30,0)),0),0)</f>
        <v>0</v>
      </c>
      <c r="O59" s="18" t="str">
        <f ca="1">IFERROR(IF(SUMIF(Sales_Entry!C:C,"&gt;="&amp;(TODAY()-60),Sales_Entry!G:G)=0,"Slow Moving","Active"),"Active")</f>
        <v>Active</v>
      </c>
    </row>
    <row r="60" spans="1:15" ht="19.5" customHeight="1">
      <c r="A60" s="15" t="s">
        <v>233</v>
      </c>
      <c r="B60" s="8" t="s">
        <v>234</v>
      </c>
      <c r="C60" s="5" t="s">
        <v>224</v>
      </c>
      <c r="D60" s="7">
        <v>90</v>
      </c>
      <c r="E60" s="7">
        <v>185</v>
      </c>
      <c r="F60" s="5">
        <f>IFERROR(SUMIF(Purchase_Entry!C:C,A60,Purchase_Entry!F:F),0)</f>
        <v>118</v>
      </c>
      <c r="G60" s="5">
        <f>IFERROR(SUMIF(Sales_Entry!D:D,A60,Sales_Entry!G:G),0)</f>
        <v>0</v>
      </c>
      <c r="H60" s="5">
        <f>F60-G60</f>
        <v>118</v>
      </c>
      <c r="I60" s="5">
        <v>50</v>
      </c>
      <c r="J60" s="7">
        <f>H60*D60</f>
        <v>10620</v>
      </c>
      <c r="K60" s="5">
        <f ca="1">IFERROR(Medicine_Master!H60-TODAY(),"")</f>
        <v>238</v>
      </c>
      <c r="L60" s="5" t="str">
        <f ca="1">IFERROR(IF(Medicine_Master!H60&lt;TODAY(),"EXPIRED",IF(Medicine_Master!H60-TODAY()&lt;30,"URGENT",IF(Medicine_Master!H60-TODAY()&lt;60,"WARNING","OK"))),"OK")</f>
        <v>OK</v>
      </c>
      <c r="M60" s="5" t="str">
        <f>IF(H60&lt;I60,"YES","NO")</f>
        <v>NO</v>
      </c>
      <c r="N60" s="5">
        <f>IFERROR(IF(H60&lt;I60,MAX(I60-H60,ROUNDUP(SUMIF(Sales_Entry!D:D,A60,Sales_Entry!G:G)/90*30,0)),0),0)</f>
        <v>0</v>
      </c>
      <c r="O60" s="17" t="str">
        <f ca="1">IFERROR(IF(SUMIF(Sales_Entry!C:C,"&gt;="&amp;(TODAY()-60),Sales_Entry!G:G)=0,"Slow Moving","Active"),"Active")</f>
        <v>Active</v>
      </c>
    </row>
    <row r="61" spans="1:15" ht="19.5" customHeight="1">
      <c r="A61" s="16" t="s">
        <v>235</v>
      </c>
      <c r="B61" s="9" t="s">
        <v>236</v>
      </c>
      <c r="C61" s="2" t="s">
        <v>224</v>
      </c>
      <c r="D61" s="4">
        <v>70</v>
      </c>
      <c r="E61" s="4">
        <v>145</v>
      </c>
      <c r="F61" s="2">
        <f>IFERROR(SUMIF(Purchase_Entry!C:C,A61,Purchase_Entry!F:F),0)</f>
        <v>0</v>
      </c>
      <c r="G61" s="2">
        <f>IFERROR(SUMIF(Sales_Entry!D:D,A61,Sales_Entry!G:G),0)</f>
        <v>0</v>
      </c>
      <c r="H61" s="2">
        <f>F61-G61</f>
        <v>0</v>
      </c>
      <c r="I61" s="2">
        <v>60</v>
      </c>
      <c r="J61" s="4">
        <f>H61*D61</f>
        <v>0</v>
      </c>
      <c r="K61" s="2">
        <f ca="1">IFERROR(Medicine_Master!H61-TODAY(),"")</f>
        <v>245</v>
      </c>
      <c r="L61" s="2" t="str">
        <f ca="1">IFERROR(IF(Medicine_Master!H61&lt;TODAY(),"EXPIRED",IF(Medicine_Master!H61-TODAY()&lt;30,"URGENT",IF(Medicine_Master!H61-TODAY()&lt;60,"WARNING","OK"))),"OK")</f>
        <v>OK</v>
      </c>
      <c r="M61" s="2" t="str">
        <f>IF(H61&lt;I61,"YES","NO")</f>
        <v>YES</v>
      </c>
      <c r="N61" s="2">
        <f>IFERROR(IF(H61&lt;I61,MAX(I61-H61,ROUNDUP(SUMIF(Sales_Entry!D:D,A61,Sales_Entry!G:G)/90*30,0)),0),0)</f>
        <v>60</v>
      </c>
      <c r="O61" s="18" t="str">
        <f ca="1">IFERROR(IF(SUMIF(Sales_Entry!C:C,"&gt;="&amp;(TODAY()-60),Sales_Entry!G:G)=0,"Slow Moving","Active"),"Active")</f>
        <v>Active</v>
      </c>
    </row>
    <row r="62" spans="1:15" ht="19.5" customHeight="1">
      <c r="A62" s="15" t="s">
        <v>238</v>
      </c>
      <c r="B62" s="8" t="s">
        <v>239</v>
      </c>
      <c r="C62" s="5" t="s">
        <v>224</v>
      </c>
      <c r="D62" s="7">
        <v>46</v>
      </c>
      <c r="E62" s="7">
        <v>95</v>
      </c>
      <c r="F62" s="5">
        <f>IFERROR(SUMIF(Purchase_Entry!C:C,A62,Purchase_Entry!F:F),0)</f>
        <v>463</v>
      </c>
      <c r="G62" s="5">
        <f>IFERROR(SUMIF(Sales_Entry!D:D,A62,Sales_Entry!G:G),0)</f>
        <v>40</v>
      </c>
      <c r="H62" s="5">
        <f>F62-G62</f>
        <v>423</v>
      </c>
      <c r="I62" s="5">
        <v>80</v>
      </c>
      <c r="J62" s="7">
        <f>H62*D62</f>
        <v>19458</v>
      </c>
      <c r="K62" s="5">
        <f ca="1">IFERROR(Medicine_Master!H62-TODAY(),"")</f>
        <v>227</v>
      </c>
      <c r="L62" s="5" t="str">
        <f ca="1">IFERROR(IF(Medicine_Master!H62&lt;TODAY(),"EXPIRED",IF(Medicine_Master!H62-TODAY()&lt;30,"URGENT",IF(Medicine_Master!H62-TODAY()&lt;60,"WARNING","OK"))),"OK")</f>
        <v>OK</v>
      </c>
      <c r="M62" s="5" t="str">
        <f>IF(H62&lt;I62,"YES","NO")</f>
        <v>NO</v>
      </c>
      <c r="N62" s="5">
        <f>IFERROR(IF(H62&lt;I62,MAX(I62-H62,ROUNDUP(SUMIF(Sales_Entry!D:D,A62,Sales_Entry!G:G)/90*30,0)),0),0)</f>
        <v>0</v>
      </c>
      <c r="O62" s="17" t="str">
        <f ca="1">IFERROR(IF(SUMIF(Sales_Entry!C:C,"&gt;="&amp;(TODAY()-60),Sales_Entry!G:G)=0,"Slow Moving","Active"),"Active")</f>
        <v>Active</v>
      </c>
    </row>
    <row r="63" spans="1:15" ht="19.5" customHeight="1">
      <c r="A63" s="16" t="s">
        <v>240</v>
      </c>
      <c r="B63" s="9" t="s">
        <v>32</v>
      </c>
      <c r="C63" s="2" t="s">
        <v>97</v>
      </c>
      <c r="D63" s="4">
        <v>80</v>
      </c>
      <c r="E63" s="4">
        <v>165</v>
      </c>
      <c r="F63" s="2">
        <f>IFERROR(SUMIF(Purchase_Entry!C:C,A63,Purchase_Entry!F:F),0)</f>
        <v>173</v>
      </c>
      <c r="G63" s="2">
        <f>IFERROR(SUMIF(Sales_Entry!D:D,A63,Sales_Entry!G:G),0)</f>
        <v>85</v>
      </c>
      <c r="H63" s="2">
        <f>F63-G63</f>
        <v>88</v>
      </c>
      <c r="I63" s="2">
        <v>70</v>
      </c>
      <c r="J63" s="4">
        <f>H63*D63</f>
        <v>7040</v>
      </c>
      <c r="K63" s="2">
        <f ca="1">IFERROR(Medicine_Master!H63-TODAY(),"")</f>
        <v>-4</v>
      </c>
      <c r="L63" s="2" t="str">
        <f ca="1">IFERROR(IF(Medicine_Master!H63&lt;TODAY(),"EXPIRED",IF(Medicine_Master!H63-TODAY()&lt;30,"URGENT",IF(Medicine_Master!H63-TODAY()&lt;60,"WARNING","OK"))),"OK")</f>
        <v>EXPIRED</v>
      </c>
      <c r="M63" s="2" t="str">
        <f>IF(H63&lt;I63,"YES","NO")</f>
        <v>NO</v>
      </c>
      <c r="N63" s="2">
        <f>IFERROR(IF(H63&lt;I63,MAX(I63-H63,ROUNDUP(SUMIF(Sales_Entry!D:D,A63,Sales_Entry!G:G)/90*30,0)),0),0)</f>
        <v>0</v>
      </c>
      <c r="O63" s="18" t="str">
        <f ca="1">IFERROR(IF(SUMIF(Sales_Entry!C:C,"&gt;="&amp;(TODAY()-60),Sales_Entry!G:G)=0,"Slow Moving","Active"),"Active")</f>
        <v>Active</v>
      </c>
    </row>
    <row r="64" spans="1:15" ht="19.5" customHeight="1">
      <c r="A64" s="15" t="s">
        <v>241</v>
      </c>
      <c r="B64" s="8" t="s">
        <v>242</v>
      </c>
      <c r="C64" s="5" t="s">
        <v>97</v>
      </c>
      <c r="D64" s="7">
        <v>95</v>
      </c>
      <c r="E64" s="7">
        <v>195</v>
      </c>
      <c r="F64" s="5">
        <f>IFERROR(SUMIF(Purchase_Entry!C:C,A64,Purchase_Entry!F:F),0)</f>
        <v>355</v>
      </c>
      <c r="G64" s="5">
        <f>IFERROR(SUMIF(Sales_Entry!D:D,A64,Sales_Entry!G:G),0)</f>
        <v>0</v>
      </c>
      <c r="H64" s="5">
        <f>F64-G64</f>
        <v>355</v>
      </c>
      <c r="I64" s="5">
        <v>50</v>
      </c>
      <c r="J64" s="7">
        <f>H64*D64</f>
        <v>33725</v>
      </c>
      <c r="K64" s="5">
        <f ca="1">IFERROR(Medicine_Master!H64-TODAY(),"")</f>
        <v>629</v>
      </c>
      <c r="L64" s="5" t="str">
        <f ca="1">IFERROR(IF(Medicine_Master!H64&lt;TODAY(),"EXPIRED",IF(Medicine_Master!H64-TODAY()&lt;30,"URGENT",IF(Medicine_Master!H64-TODAY()&lt;60,"WARNING","OK"))),"OK")</f>
        <v>OK</v>
      </c>
      <c r="M64" s="5" t="str">
        <f>IF(H64&lt;I64,"YES","NO")</f>
        <v>NO</v>
      </c>
      <c r="N64" s="5">
        <f>IFERROR(IF(H64&lt;I64,MAX(I64-H64,ROUNDUP(SUMIF(Sales_Entry!D:D,A64,Sales_Entry!G:G)/90*30,0)),0),0)</f>
        <v>0</v>
      </c>
      <c r="O64" s="17" t="str">
        <f ca="1">IFERROR(IF(SUMIF(Sales_Entry!C:C,"&gt;="&amp;(TODAY()-60),Sales_Entry!G:G)=0,"Slow Moving","Active"),"Active")</f>
        <v>Active</v>
      </c>
    </row>
    <row r="65" spans="1:15" ht="19.5" customHeight="1">
      <c r="A65" s="16" t="s">
        <v>243</v>
      </c>
      <c r="B65" s="9" t="s">
        <v>244</v>
      </c>
      <c r="C65" s="2" t="s">
        <v>97</v>
      </c>
      <c r="D65" s="4">
        <v>90</v>
      </c>
      <c r="E65" s="4">
        <v>185</v>
      </c>
      <c r="F65" s="2">
        <f>IFERROR(SUMIF(Purchase_Entry!C:C,A65,Purchase_Entry!F:F),0)</f>
        <v>268</v>
      </c>
      <c r="G65" s="2">
        <f>IFERROR(SUMIF(Sales_Entry!D:D,A65,Sales_Entry!G:G),0)</f>
        <v>4</v>
      </c>
      <c r="H65" s="2">
        <f>F65-G65</f>
        <v>264</v>
      </c>
      <c r="I65" s="2">
        <v>60</v>
      </c>
      <c r="J65" s="4">
        <f>H65*D65</f>
        <v>23760</v>
      </c>
      <c r="K65" s="2">
        <f ca="1">IFERROR(Medicine_Master!H65-TODAY(),"")</f>
        <v>312</v>
      </c>
      <c r="L65" s="2" t="str">
        <f ca="1">IFERROR(IF(Medicine_Master!H65&lt;TODAY(),"EXPIRED",IF(Medicine_Master!H65-TODAY()&lt;30,"URGENT",IF(Medicine_Master!H65-TODAY()&lt;60,"WARNING","OK"))),"OK")</f>
        <v>OK</v>
      </c>
      <c r="M65" s="2" t="str">
        <f>IF(H65&lt;I65,"YES","NO")</f>
        <v>NO</v>
      </c>
      <c r="N65" s="2">
        <f>IFERROR(IF(H65&lt;I65,MAX(I65-H65,ROUNDUP(SUMIF(Sales_Entry!D:D,A65,Sales_Entry!G:G)/90*30,0)),0),0)</f>
        <v>0</v>
      </c>
      <c r="O65" s="18" t="str">
        <f ca="1">IFERROR(IF(SUMIF(Sales_Entry!C:C,"&gt;="&amp;(TODAY()-60),Sales_Entry!G:G)=0,"Slow Moving","Active"),"Active")</f>
        <v>Active</v>
      </c>
    </row>
    <row r="66" spans="1:15" ht="19.5" customHeight="1">
      <c r="A66" s="15" t="s">
        <v>245</v>
      </c>
      <c r="B66" s="8" t="s">
        <v>246</v>
      </c>
      <c r="C66" s="5" t="s">
        <v>97</v>
      </c>
      <c r="D66" s="7">
        <v>120</v>
      </c>
      <c r="E66" s="7">
        <v>245</v>
      </c>
      <c r="F66" s="5">
        <f>IFERROR(SUMIF(Purchase_Entry!C:C,A66,Purchase_Entry!F:F),0)</f>
        <v>589</v>
      </c>
      <c r="G66" s="5">
        <f>IFERROR(SUMIF(Sales_Entry!D:D,A66,Sales_Entry!G:G),0)</f>
        <v>0</v>
      </c>
      <c r="H66" s="5">
        <f>F66-G66</f>
        <v>589</v>
      </c>
      <c r="I66" s="5">
        <v>50</v>
      </c>
      <c r="J66" s="7">
        <f>H66*D66</f>
        <v>70680</v>
      </c>
      <c r="K66" s="5">
        <f ca="1">IFERROR(Medicine_Master!H66-TODAY(),"")</f>
        <v>514</v>
      </c>
      <c r="L66" s="5" t="str">
        <f ca="1">IFERROR(IF(Medicine_Master!H66&lt;TODAY(),"EXPIRED",IF(Medicine_Master!H66-TODAY()&lt;30,"URGENT",IF(Medicine_Master!H66-TODAY()&lt;60,"WARNING","OK"))),"OK")</f>
        <v>OK</v>
      </c>
      <c r="M66" s="5" t="str">
        <f>IF(H66&lt;I66,"YES","NO")</f>
        <v>NO</v>
      </c>
      <c r="N66" s="5">
        <f>IFERROR(IF(H66&lt;I66,MAX(I66-H66,ROUNDUP(SUMIF(Sales_Entry!D:D,A66,Sales_Entry!G:G)/90*30,0)),0),0)</f>
        <v>0</v>
      </c>
      <c r="O66" s="17" t="str">
        <f ca="1">IFERROR(IF(SUMIF(Sales_Entry!C:C,"&gt;="&amp;(TODAY()-60),Sales_Entry!G:G)=0,"Slow Moving","Active"),"Active")</f>
        <v>Active</v>
      </c>
    </row>
    <row r="67" spans="1:15" ht="19.5" customHeight="1">
      <c r="A67" s="16" t="s">
        <v>247</v>
      </c>
      <c r="B67" s="9" t="s">
        <v>248</v>
      </c>
      <c r="C67" s="2" t="s">
        <v>97</v>
      </c>
      <c r="D67" s="4">
        <v>61</v>
      </c>
      <c r="E67" s="4">
        <v>125</v>
      </c>
      <c r="F67" s="2">
        <f>IFERROR(SUMIF(Purchase_Entry!C:C,A67,Purchase_Entry!F:F),0)</f>
        <v>128</v>
      </c>
      <c r="G67" s="2">
        <f>IFERROR(SUMIF(Sales_Entry!D:D,A67,Sales_Entry!G:G),0)</f>
        <v>35</v>
      </c>
      <c r="H67" s="2">
        <f>F67-G67</f>
        <v>93</v>
      </c>
      <c r="I67" s="2">
        <v>70</v>
      </c>
      <c r="J67" s="4">
        <f>H67*D67</f>
        <v>5673</v>
      </c>
      <c r="K67" s="2">
        <f ca="1">IFERROR(Medicine_Master!H67-TODAY(),"")</f>
        <v>521</v>
      </c>
      <c r="L67" s="2" t="str">
        <f ca="1">IFERROR(IF(Medicine_Master!H67&lt;TODAY(),"EXPIRED",IF(Medicine_Master!H67-TODAY()&lt;30,"URGENT",IF(Medicine_Master!H67-TODAY()&lt;60,"WARNING","OK"))),"OK")</f>
        <v>OK</v>
      </c>
      <c r="M67" s="2" t="str">
        <f>IF(H67&lt;I67,"YES","NO")</f>
        <v>NO</v>
      </c>
      <c r="N67" s="2">
        <f>IFERROR(IF(H67&lt;I67,MAX(I67-H67,ROUNDUP(SUMIF(Sales_Entry!D:D,A67,Sales_Entry!G:G)/90*30,0)),0),0)</f>
        <v>0</v>
      </c>
      <c r="O67" s="18" t="str">
        <f ca="1">IFERROR(IF(SUMIF(Sales_Entry!C:C,"&gt;="&amp;(TODAY()-60),Sales_Entry!G:G)=0,"Slow Moving","Active"),"Active")</f>
        <v>Active</v>
      </c>
    </row>
    <row r="68" spans="1:15" ht="19.5" customHeight="1">
      <c r="A68" s="15" t="s">
        <v>249</v>
      </c>
      <c r="B68" s="8" t="s">
        <v>250</v>
      </c>
      <c r="C68" s="5" t="s">
        <v>115</v>
      </c>
      <c r="D68" s="7">
        <v>31</v>
      </c>
      <c r="E68" s="7">
        <v>65</v>
      </c>
      <c r="F68" s="5">
        <f>IFERROR(SUMIF(Purchase_Entry!C:C,A68,Purchase_Entry!F:F),0)</f>
        <v>379</v>
      </c>
      <c r="G68" s="5">
        <f>IFERROR(SUMIF(Sales_Entry!D:D,A68,Sales_Entry!G:G),0)</f>
        <v>27</v>
      </c>
      <c r="H68" s="5">
        <f>F68-G68</f>
        <v>352</v>
      </c>
      <c r="I68" s="5">
        <v>100</v>
      </c>
      <c r="J68" s="7">
        <f>H68*D68</f>
        <v>10912</v>
      </c>
      <c r="K68" s="5">
        <f ca="1">IFERROR(Medicine_Master!H68-TODAY(),"")</f>
        <v>44</v>
      </c>
      <c r="L68" s="5" t="str">
        <f ca="1">IFERROR(IF(Medicine_Master!H68&lt;TODAY(),"EXPIRED",IF(Medicine_Master!H68-TODAY()&lt;30,"URGENT",IF(Medicine_Master!H68-TODAY()&lt;60,"WARNING","OK"))),"OK")</f>
        <v>WARNING</v>
      </c>
      <c r="M68" s="5" t="str">
        <f>IF(H68&lt;I68,"YES","NO")</f>
        <v>NO</v>
      </c>
      <c r="N68" s="5">
        <f>IFERROR(IF(H68&lt;I68,MAX(I68-H68,ROUNDUP(SUMIF(Sales_Entry!D:D,A68,Sales_Entry!G:G)/90*30,0)),0),0)</f>
        <v>0</v>
      </c>
      <c r="O68" s="17" t="str">
        <f ca="1">IFERROR(IF(SUMIF(Sales_Entry!C:C,"&gt;="&amp;(TODAY()-60),Sales_Entry!G:G)=0,"Slow Moving","Active"),"Active")</f>
        <v>Active</v>
      </c>
    </row>
    <row r="69" spans="1:15" ht="19.5" customHeight="1">
      <c r="A69" s="16" t="s">
        <v>251</v>
      </c>
      <c r="B69" s="9" t="s">
        <v>36</v>
      </c>
      <c r="C69" s="2" t="s">
        <v>115</v>
      </c>
      <c r="D69" s="4">
        <v>41</v>
      </c>
      <c r="E69" s="4">
        <v>85</v>
      </c>
      <c r="F69" s="2">
        <f>IFERROR(SUMIF(Purchase_Entry!C:C,A69,Purchase_Entry!F:F),0)</f>
        <v>178</v>
      </c>
      <c r="G69" s="2">
        <f>IFERROR(SUMIF(Sales_Entry!D:D,A69,Sales_Entry!G:G),0)</f>
        <v>104</v>
      </c>
      <c r="H69" s="2">
        <f>F69-G69</f>
        <v>74</v>
      </c>
      <c r="I69" s="2">
        <v>80</v>
      </c>
      <c r="J69" s="4">
        <f>H69*D69</f>
        <v>3034</v>
      </c>
      <c r="K69" s="2">
        <f ca="1">IFERROR(Medicine_Master!H69-TODAY(),"")</f>
        <v>101</v>
      </c>
      <c r="L69" s="2" t="str">
        <f ca="1">IFERROR(IF(Medicine_Master!H69&lt;TODAY(),"EXPIRED",IF(Medicine_Master!H69-TODAY()&lt;30,"URGENT",IF(Medicine_Master!H69-TODAY()&lt;60,"WARNING","OK"))),"OK")</f>
        <v>OK</v>
      </c>
      <c r="M69" s="2" t="str">
        <f>IF(H69&lt;I69,"YES","NO")</f>
        <v>YES</v>
      </c>
      <c r="N69" s="2">
        <f>IFERROR(IF(H69&lt;I69,MAX(I69-H69,ROUNDUP(SUMIF(Sales_Entry!D:D,A69,Sales_Entry!G:G)/90*30,0)),0),0)</f>
        <v>35</v>
      </c>
      <c r="O69" s="18" t="str">
        <f ca="1">IFERROR(IF(SUMIF(Sales_Entry!C:C,"&gt;="&amp;(TODAY()-60),Sales_Entry!G:G)=0,"Slow Moving","Active"),"Active")</f>
        <v>Active</v>
      </c>
    </row>
    <row r="70" spans="1:15" ht="19.5" customHeight="1">
      <c r="A70" s="15" t="s">
        <v>252</v>
      </c>
      <c r="B70" s="8" t="s">
        <v>253</v>
      </c>
      <c r="C70" s="5" t="s">
        <v>115</v>
      </c>
      <c r="D70" s="7">
        <v>26</v>
      </c>
      <c r="E70" s="7">
        <v>55</v>
      </c>
      <c r="F70" s="5">
        <f>IFERROR(SUMIF(Purchase_Entry!C:C,A70,Purchase_Entry!F:F),0)</f>
        <v>279</v>
      </c>
      <c r="G70" s="5">
        <f>IFERROR(SUMIF(Sales_Entry!D:D,A70,Sales_Entry!G:G),0)</f>
        <v>31</v>
      </c>
      <c r="H70" s="5">
        <f>F70-G70</f>
        <v>248</v>
      </c>
      <c r="I70" s="5">
        <v>100</v>
      </c>
      <c r="J70" s="7">
        <f>H70*D70</f>
        <v>6448</v>
      </c>
      <c r="K70" s="5">
        <f ca="1">IFERROR(Medicine_Master!H70-TODAY(),"")</f>
        <v>502</v>
      </c>
      <c r="L70" s="5" t="str">
        <f ca="1">IFERROR(IF(Medicine_Master!H70&lt;TODAY(),"EXPIRED",IF(Medicine_Master!H70-TODAY()&lt;30,"URGENT",IF(Medicine_Master!H70-TODAY()&lt;60,"WARNING","OK"))),"OK")</f>
        <v>OK</v>
      </c>
      <c r="M70" s="5" t="str">
        <f>IF(H70&lt;I70,"YES","NO")</f>
        <v>NO</v>
      </c>
      <c r="N70" s="5">
        <f>IFERROR(IF(H70&lt;I70,MAX(I70-H70,ROUNDUP(SUMIF(Sales_Entry!D:D,A70,Sales_Entry!G:G)/90*30,0)),0),0)</f>
        <v>0</v>
      </c>
      <c r="O70" s="17" t="str">
        <f ca="1">IFERROR(IF(SUMIF(Sales_Entry!C:C,"&gt;="&amp;(TODAY()-60),Sales_Entry!G:G)=0,"Slow Moving","Active"),"Active")</f>
        <v>Active</v>
      </c>
    </row>
    <row r="71" spans="1:15" ht="19.5" customHeight="1">
      <c r="A71" s="16" t="s">
        <v>254</v>
      </c>
      <c r="B71" s="9" t="s">
        <v>255</v>
      </c>
      <c r="C71" s="2" t="s">
        <v>133</v>
      </c>
      <c r="D71" s="4">
        <v>31</v>
      </c>
      <c r="E71" s="4">
        <v>65</v>
      </c>
      <c r="F71" s="2">
        <f>IFERROR(SUMIF(Purchase_Entry!C:C,A71,Purchase_Entry!F:F),0)</f>
        <v>527</v>
      </c>
      <c r="G71" s="2">
        <f>IFERROR(SUMIF(Sales_Entry!D:D,A71,Sales_Entry!G:G),0)</f>
        <v>0</v>
      </c>
      <c r="H71" s="2">
        <f>F71-G71</f>
        <v>527</v>
      </c>
      <c r="I71" s="2">
        <v>120</v>
      </c>
      <c r="J71" s="4">
        <f>H71*D71</f>
        <v>16337</v>
      </c>
      <c r="K71" s="2">
        <f ca="1">IFERROR(Medicine_Master!H71-TODAY(),"")</f>
        <v>-7</v>
      </c>
      <c r="L71" s="2" t="str">
        <f ca="1">IFERROR(IF(Medicine_Master!H71&lt;TODAY(),"EXPIRED",IF(Medicine_Master!H71-TODAY()&lt;30,"URGENT",IF(Medicine_Master!H71-TODAY()&lt;60,"WARNING","OK"))),"OK")</f>
        <v>EXPIRED</v>
      </c>
      <c r="M71" s="2" t="str">
        <f>IF(H71&lt;I71,"YES","NO")</f>
        <v>NO</v>
      </c>
      <c r="N71" s="2">
        <f>IFERROR(IF(H71&lt;I71,MAX(I71-H71,ROUNDUP(SUMIF(Sales_Entry!D:D,A71,Sales_Entry!G:G)/90*30,0)),0),0)</f>
        <v>0</v>
      </c>
      <c r="O71" s="18" t="str">
        <f ca="1">IFERROR(IF(SUMIF(Sales_Entry!C:C,"&gt;="&amp;(TODAY()-60),Sales_Entry!G:G)=0,"Slow Moving","Active"),"Active")</f>
        <v>Active</v>
      </c>
    </row>
    <row r="72" spans="1:15" ht="19.5" customHeight="1">
      <c r="A72" s="15" t="s">
        <v>256</v>
      </c>
      <c r="B72" s="8" t="s">
        <v>257</v>
      </c>
      <c r="C72" s="5" t="s">
        <v>133</v>
      </c>
      <c r="D72" s="7">
        <v>41</v>
      </c>
      <c r="E72" s="7">
        <v>85</v>
      </c>
      <c r="F72" s="5">
        <f>IFERROR(SUMIF(Purchase_Entry!C:C,A72,Purchase_Entry!F:F),0)</f>
        <v>134</v>
      </c>
      <c r="G72" s="5">
        <f>IFERROR(SUMIF(Sales_Entry!D:D,A72,Sales_Entry!G:G),0)</f>
        <v>36</v>
      </c>
      <c r="H72" s="5">
        <f>F72-G72</f>
        <v>98</v>
      </c>
      <c r="I72" s="5">
        <v>70</v>
      </c>
      <c r="J72" s="7">
        <f>H72*D72</f>
        <v>4018</v>
      </c>
      <c r="K72" s="5">
        <f ca="1">IFERROR(Medicine_Master!H72-TODAY(),"")</f>
        <v>588</v>
      </c>
      <c r="L72" s="5" t="str">
        <f ca="1">IFERROR(IF(Medicine_Master!H72&lt;TODAY(),"EXPIRED",IF(Medicine_Master!H72-TODAY()&lt;30,"URGENT",IF(Medicine_Master!H72-TODAY()&lt;60,"WARNING","OK"))),"OK")</f>
        <v>OK</v>
      </c>
      <c r="M72" s="5" t="str">
        <f>IF(H72&lt;I72,"YES","NO")</f>
        <v>NO</v>
      </c>
      <c r="N72" s="5">
        <f>IFERROR(IF(H72&lt;I72,MAX(I72-H72,ROUNDUP(SUMIF(Sales_Entry!D:D,A72,Sales_Entry!G:G)/90*30,0)),0),0)</f>
        <v>0</v>
      </c>
      <c r="O72" s="17" t="str">
        <f ca="1">IFERROR(IF(SUMIF(Sales_Entry!C:C,"&gt;="&amp;(TODAY()-60),Sales_Entry!G:G)=0,"Slow Moving","Active"),"Active")</f>
        <v>Active</v>
      </c>
    </row>
    <row r="73" spans="1:15" ht="19.5" customHeight="1">
      <c r="A73" s="16" t="s">
        <v>258</v>
      </c>
      <c r="B73" s="9" t="s">
        <v>259</v>
      </c>
      <c r="C73" s="2" t="s">
        <v>133</v>
      </c>
      <c r="D73" s="4">
        <v>31</v>
      </c>
      <c r="E73" s="4">
        <v>65</v>
      </c>
      <c r="F73" s="2">
        <f>IFERROR(SUMIF(Purchase_Entry!C:C,A73,Purchase_Entry!F:F),0)</f>
        <v>151</v>
      </c>
      <c r="G73" s="2">
        <f>IFERROR(SUMIF(Sales_Entry!D:D,A73,Sales_Entry!G:G),0)</f>
        <v>13</v>
      </c>
      <c r="H73" s="2">
        <f>F73-G73</f>
        <v>138</v>
      </c>
      <c r="I73" s="2">
        <v>80</v>
      </c>
      <c r="J73" s="4">
        <f>H73*D73</f>
        <v>4278</v>
      </c>
      <c r="K73" s="2">
        <f ca="1">IFERROR(Medicine_Master!H73-TODAY(),"")</f>
        <v>291</v>
      </c>
      <c r="L73" s="2" t="str">
        <f ca="1">IFERROR(IF(Medicine_Master!H73&lt;TODAY(),"EXPIRED",IF(Medicine_Master!H73-TODAY()&lt;30,"URGENT",IF(Medicine_Master!H73-TODAY()&lt;60,"WARNING","OK"))),"OK")</f>
        <v>OK</v>
      </c>
      <c r="M73" s="2" t="str">
        <f>IF(H73&lt;I73,"YES","NO")</f>
        <v>NO</v>
      </c>
      <c r="N73" s="2">
        <f>IFERROR(IF(H73&lt;I73,MAX(I73-H73,ROUNDUP(SUMIF(Sales_Entry!D:D,A73,Sales_Entry!G:G)/90*30,0)),0),0)</f>
        <v>0</v>
      </c>
      <c r="O73" s="18" t="str">
        <f ca="1">IFERROR(IF(SUMIF(Sales_Entry!C:C,"&gt;="&amp;(TODAY()-60),Sales_Entry!G:G)=0,"Slow Moving","Active"),"Active")</f>
        <v>Active</v>
      </c>
    </row>
    <row r="74" spans="1:15" ht="19.5" customHeight="1">
      <c r="A74" s="15" t="s">
        <v>260</v>
      </c>
      <c r="B74" s="8" t="s">
        <v>261</v>
      </c>
      <c r="C74" s="5" t="s">
        <v>145</v>
      </c>
      <c r="D74" s="7">
        <v>21</v>
      </c>
      <c r="E74" s="7">
        <v>45</v>
      </c>
      <c r="F74" s="5">
        <f>IFERROR(SUMIF(Purchase_Entry!C:C,A74,Purchase_Entry!F:F),0)</f>
        <v>0</v>
      </c>
      <c r="G74" s="5">
        <f>IFERROR(SUMIF(Sales_Entry!D:D,A74,Sales_Entry!G:G),0)</f>
        <v>0</v>
      </c>
      <c r="H74" s="5">
        <f>F74-G74</f>
        <v>0</v>
      </c>
      <c r="I74" s="5">
        <v>120</v>
      </c>
      <c r="J74" s="7">
        <f>H74*D74</f>
        <v>0</v>
      </c>
      <c r="K74" s="5">
        <f ca="1">IFERROR(Medicine_Master!H74-TODAY(),"")</f>
        <v>1</v>
      </c>
      <c r="L74" s="5" t="str">
        <f ca="1">IFERROR(IF(Medicine_Master!H74&lt;TODAY(),"EXPIRED",IF(Medicine_Master!H74-TODAY()&lt;30,"URGENT",IF(Medicine_Master!H74-TODAY()&lt;60,"WARNING","OK"))),"OK")</f>
        <v>URGENT</v>
      </c>
      <c r="M74" s="5" t="str">
        <f>IF(H74&lt;I74,"YES","NO")</f>
        <v>YES</v>
      </c>
      <c r="N74" s="5">
        <f>IFERROR(IF(H74&lt;I74,MAX(I74-H74,ROUNDUP(SUMIF(Sales_Entry!D:D,A74,Sales_Entry!G:G)/90*30,0)),0),0)</f>
        <v>120</v>
      </c>
      <c r="O74" s="17" t="str">
        <f ca="1">IFERROR(IF(SUMIF(Sales_Entry!C:C,"&gt;="&amp;(TODAY()-60),Sales_Entry!G:G)=0,"Slow Moving","Active"),"Active")</f>
        <v>Active</v>
      </c>
    </row>
    <row r="75" spans="1:15" ht="19.5" customHeight="1">
      <c r="A75" s="16" t="s">
        <v>262</v>
      </c>
      <c r="B75" s="9" t="s">
        <v>31</v>
      </c>
      <c r="C75" s="2" t="s">
        <v>145</v>
      </c>
      <c r="D75" s="4">
        <v>90</v>
      </c>
      <c r="E75" s="4">
        <v>185</v>
      </c>
      <c r="F75" s="2">
        <f>IFERROR(SUMIF(Purchase_Entry!C:C,A75,Purchase_Entry!F:F),0)</f>
        <v>343</v>
      </c>
      <c r="G75" s="2">
        <f>IFERROR(SUMIF(Sales_Entry!D:D,A75,Sales_Entry!G:G),0)</f>
        <v>70</v>
      </c>
      <c r="H75" s="2">
        <f>F75-G75</f>
        <v>273</v>
      </c>
      <c r="I75" s="2">
        <v>60</v>
      </c>
      <c r="J75" s="4">
        <f>H75*D75</f>
        <v>24570</v>
      </c>
      <c r="K75" s="2">
        <f ca="1">IFERROR(Medicine_Master!H75-TODAY(),"")</f>
        <v>436</v>
      </c>
      <c r="L75" s="2" t="str">
        <f ca="1">IFERROR(IF(Medicine_Master!H75&lt;TODAY(),"EXPIRED",IF(Medicine_Master!H75-TODAY()&lt;30,"URGENT",IF(Medicine_Master!H75-TODAY()&lt;60,"WARNING","OK"))),"OK")</f>
        <v>OK</v>
      </c>
      <c r="M75" s="2" t="str">
        <f>IF(H75&lt;I75,"YES","NO")</f>
        <v>NO</v>
      </c>
      <c r="N75" s="2">
        <f>IFERROR(IF(H75&lt;I75,MAX(I75-H75,ROUNDUP(SUMIF(Sales_Entry!D:D,A75,Sales_Entry!G:G)/90*30,0)),0),0)</f>
        <v>0</v>
      </c>
      <c r="O75" s="18" t="str">
        <f ca="1">IFERROR(IF(SUMIF(Sales_Entry!C:C,"&gt;="&amp;(TODAY()-60),Sales_Entry!G:G)=0,"Slow Moving","Active"),"Active")</f>
        <v>Active</v>
      </c>
    </row>
    <row r="76" spans="1:15" ht="19.5" customHeight="1">
      <c r="A76" s="15" t="s">
        <v>263</v>
      </c>
      <c r="B76" s="8" t="s">
        <v>264</v>
      </c>
      <c r="C76" s="5" t="s">
        <v>145</v>
      </c>
      <c r="D76" s="7">
        <v>46</v>
      </c>
      <c r="E76" s="7">
        <v>95</v>
      </c>
      <c r="F76" s="5">
        <f>IFERROR(SUMIF(Purchase_Entry!C:C,A76,Purchase_Entry!F:F),0)</f>
        <v>1300</v>
      </c>
      <c r="G76" s="5">
        <f>IFERROR(SUMIF(Sales_Entry!D:D,A76,Sales_Entry!G:G),0)</f>
        <v>30</v>
      </c>
      <c r="H76" s="5">
        <f>F76-G76</f>
        <v>1270</v>
      </c>
      <c r="I76" s="5">
        <v>80</v>
      </c>
      <c r="J76" s="7">
        <f>H76*D76</f>
        <v>58420</v>
      </c>
      <c r="K76" s="5">
        <f ca="1">IFERROR(Medicine_Master!H76-TODAY(),"")</f>
        <v>197</v>
      </c>
      <c r="L76" s="5" t="str">
        <f ca="1">IFERROR(IF(Medicine_Master!H76&lt;TODAY(),"EXPIRED",IF(Medicine_Master!H76-TODAY()&lt;30,"URGENT",IF(Medicine_Master!H76-TODAY()&lt;60,"WARNING","OK"))),"OK")</f>
        <v>OK</v>
      </c>
      <c r="M76" s="5" t="str">
        <f>IF(H76&lt;I76,"YES","NO")</f>
        <v>NO</v>
      </c>
      <c r="N76" s="5">
        <f>IFERROR(IF(H76&lt;I76,MAX(I76-H76,ROUNDUP(SUMIF(Sales_Entry!D:D,A76,Sales_Entry!G:G)/90*30,0)),0),0)</f>
        <v>0</v>
      </c>
      <c r="O76" s="17" t="str">
        <f ca="1">IFERROR(IF(SUMIF(Sales_Entry!C:C,"&gt;="&amp;(TODAY()-60),Sales_Entry!G:G)=0,"Slow Moving","Active"),"Active")</f>
        <v>Active</v>
      </c>
    </row>
    <row r="77" spans="1:15" ht="19.5" customHeight="1">
      <c r="A77" s="16" t="s">
        <v>265</v>
      </c>
      <c r="B77" s="9" t="s">
        <v>266</v>
      </c>
      <c r="C77" s="2" t="s">
        <v>160</v>
      </c>
      <c r="D77" s="4">
        <v>61</v>
      </c>
      <c r="E77" s="4">
        <v>125</v>
      </c>
      <c r="F77" s="2">
        <f>IFERROR(SUMIF(Purchase_Entry!C:C,A77,Purchase_Entry!F:F),0)</f>
        <v>192</v>
      </c>
      <c r="G77" s="2">
        <f>IFERROR(SUMIF(Sales_Entry!D:D,A77,Sales_Entry!G:G),0)</f>
        <v>0</v>
      </c>
      <c r="H77" s="2">
        <f>F77-G77</f>
        <v>192</v>
      </c>
      <c r="I77" s="2">
        <v>70</v>
      </c>
      <c r="J77" s="4">
        <f>H77*D77</f>
        <v>11712</v>
      </c>
      <c r="K77" s="2">
        <f ca="1">IFERROR(Medicine_Master!H77-TODAY(),"")</f>
        <v>316</v>
      </c>
      <c r="L77" s="2" t="str">
        <f ca="1">IFERROR(IF(Medicine_Master!H77&lt;TODAY(),"EXPIRED",IF(Medicine_Master!H77-TODAY()&lt;30,"URGENT",IF(Medicine_Master!H77-TODAY()&lt;60,"WARNING","OK"))),"OK")</f>
        <v>OK</v>
      </c>
      <c r="M77" s="2" t="str">
        <f>IF(H77&lt;I77,"YES","NO")</f>
        <v>NO</v>
      </c>
      <c r="N77" s="2">
        <f>IFERROR(IF(H77&lt;I77,MAX(I77-H77,ROUNDUP(SUMIF(Sales_Entry!D:D,A77,Sales_Entry!G:G)/90*30,0)),0),0)</f>
        <v>0</v>
      </c>
      <c r="O77" s="18" t="str">
        <f ca="1">IFERROR(IF(SUMIF(Sales_Entry!C:C,"&gt;="&amp;(TODAY()-60),Sales_Entry!G:G)=0,"Slow Moving","Active"),"Active")</f>
        <v>Active</v>
      </c>
    </row>
    <row r="78" spans="1:15" ht="19.5" customHeight="1">
      <c r="A78" s="15" t="s">
        <v>267</v>
      </c>
      <c r="B78" s="8" t="s">
        <v>268</v>
      </c>
      <c r="C78" s="5" t="s">
        <v>160</v>
      </c>
      <c r="D78" s="7">
        <v>80</v>
      </c>
      <c r="E78" s="7">
        <v>165</v>
      </c>
      <c r="F78" s="5">
        <f>IFERROR(SUMIF(Purchase_Entry!C:C,A78,Purchase_Entry!F:F),0)</f>
        <v>0</v>
      </c>
      <c r="G78" s="5">
        <f>IFERROR(SUMIF(Sales_Entry!D:D,A78,Sales_Entry!G:G),0)</f>
        <v>0</v>
      </c>
      <c r="H78" s="5">
        <f>F78-G78</f>
        <v>0</v>
      </c>
      <c r="I78" s="5">
        <v>60</v>
      </c>
      <c r="J78" s="7">
        <f>H78*D78</f>
        <v>0</v>
      </c>
      <c r="K78" s="5">
        <f ca="1">IFERROR(Medicine_Master!H78-TODAY(),"")</f>
        <v>33</v>
      </c>
      <c r="L78" s="5" t="str">
        <f ca="1">IFERROR(IF(Medicine_Master!H78&lt;TODAY(),"EXPIRED",IF(Medicine_Master!H78-TODAY()&lt;30,"URGENT",IF(Medicine_Master!H78-TODAY()&lt;60,"WARNING","OK"))),"OK")</f>
        <v>WARNING</v>
      </c>
      <c r="M78" s="5" t="str">
        <f>IF(H78&lt;I78,"YES","NO")</f>
        <v>YES</v>
      </c>
      <c r="N78" s="5">
        <f>IFERROR(IF(H78&lt;I78,MAX(I78-H78,ROUNDUP(SUMIF(Sales_Entry!D:D,A78,Sales_Entry!G:G)/90*30,0)),0),0)</f>
        <v>60</v>
      </c>
      <c r="O78" s="17" t="str">
        <f ca="1">IFERROR(IF(SUMIF(Sales_Entry!C:C,"&gt;="&amp;(TODAY()-60),Sales_Entry!G:G)=0,"Slow Moving","Active"),"Active")</f>
        <v>Active</v>
      </c>
    </row>
    <row r="79" spans="1:15" ht="19.5" customHeight="1">
      <c r="A79" s="16" t="s">
        <v>269</v>
      </c>
      <c r="B79" s="9" t="s">
        <v>270</v>
      </c>
      <c r="C79" s="2" t="s">
        <v>160</v>
      </c>
      <c r="D79" s="4">
        <v>190</v>
      </c>
      <c r="E79" s="4">
        <v>385</v>
      </c>
      <c r="F79" s="2">
        <f>IFERROR(SUMIF(Purchase_Entry!C:C,A79,Purchase_Entry!F:F),0)</f>
        <v>532</v>
      </c>
      <c r="G79" s="2">
        <f>IFERROR(SUMIF(Sales_Entry!D:D,A79,Sales_Entry!G:G),0)</f>
        <v>49</v>
      </c>
      <c r="H79" s="2">
        <f>F79-G79</f>
        <v>483</v>
      </c>
      <c r="I79" s="2">
        <v>30</v>
      </c>
      <c r="J79" s="4">
        <f>H79*D79</f>
        <v>91770</v>
      </c>
      <c r="K79" s="2">
        <f ca="1">IFERROR(Medicine_Master!H79-TODAY(),"")</f>
        <v>200</v>
      </c>
      <c r="L79" s="2" t="str">
        <f ca="1">IFERROR(IF(Medicine_Master!H79&lt;TODAY(),"EXPIRED",IF(Medicine_Master!H79-TODAY()&lt;30,"URGENT",IF(Medicine_Master!H79-TODAY()&lt;60,"WARNING","OK"))),"OK")</f>
        <v>OK</v>
      </c>
      <c r="M79" s="2" t="str">
        <f>IF(H79&lt;I79,"YES","NO")</f>
        <v>NO</v>
      </c>
      <c r="N79" s="2">
        <f>IFERROR(IF(H79&lt;I79,MAX(I79-H79,ROUNDUP(SUMIF(Sales_Entry!D:D,A79,Sales_Entry!G:G)/90*30,0)),0),0)</f>
        <v>0</v>
      </c>
      <c r="O79" s="18" t="str">
        <f ca="1">IFERROR(IF(SUMIF(Sales_Entry!C:C,"&gt;="&amp;(TODAY()-60),Sales_Entry!G:G)=0,"Slow Moving","Active"),"Active")</f>
        <v>Active</v>
      </c>
    </row>
    <row r="80" spans="1:15" ht="19.5" customHeight="1">
      <c r="A80" s="15" t="s">
        <v>271</v>
      </c>
      <c r="B80" s="8" t="s">
        <v>272</v>
      </c>
      <c r="C80" s="5" t="s">
        <v>174</v>
      </c>
      <c r="D80" s="7">
        <v>36</v>
      </c>
      <c r="E80" s="7">
        <v>75</v>
      </c>
      <c r="F80" s="5">
        <f>IFERROR(SUMIF(Purchase_Entry!C:C,A80,Purchase_Entry!F:F),0)</f>
        <v>177</v>
      </c>
      <c r="G80" s="5">
        <f>IFERROR(SUMIF(Sales_Entry!D:D,A80,Sales_Entry!G:G),0)</f>
        <v>39</v>
      </c>
      <c r="H80" s="5">
        <f>F80-G80</f>
        <v>138</v>
      </c>
      <c r="I80" s="5">
        <v>120</v>
      </c>
      <c r="J80" s="7">
        <f>H80*D80</f>
        <v>4968</v>
      </c>
      <c r="K80" s="5">
        <f ca="1">IFERROR(Medicine_Master!H80-TODAY(),"")</f>
        <v>316</v>
      </c>
      <c r="L80" s="5" t="str">
        <f ca="1">IFERROR(IF(Medicine_Master!H80&lt;TODAY(),"EXPIRED",IF(Medicine_Master!H80-TODAY()&lt;30,"URGENT",IF(Medicine_Master!H80-TODAY()&lt;60,"WARNING","OK"))),"OK")</f>
        <v>OK</v>
      </c>
      <c r="M80" s="5" t="str">
        <f>IF(H80&lt;I80,"YES","NO")</f>
        <v>NO</v>
      </c>
      <c r="N80" s="5">
        <f>IFERROR(IF(H80&lt;I80,MAX(I80-H80,ROUNDUP(SUMIF(Sales_Entry!D:D,A80,Sales_Entry!G:G)/90*30,0)),0),0)</f>
        <v>0</v>
      </c>
      <c r="O80" s="17" t="str">
        <f ca="1">IFERROR(IF(SUMIF(Sales_Entry!C:C,"&gt;="&amp;(TODAY()-60),Sales_Entry!G:G)=0,"Slow Moving","Active"),"Active")</f>
        <v>Active</v>
      </c>
    </row>
    <row r="81" spans="1:15" ht="19.5" customHeight="1">
      <c r="A81" s="16" t="s">
        <v>273</v>
      </c>
      <c r="B81" s="9" t="s">
        <v>274</v>
      </c>
      <c r="C81" s="2" t="s">
        <v>174</v>
      </c>
      <c r="D81" s="4">
        <v>61</v>
      </c>
      <c r="E81" s="4">
        <v>125</v>
      </c>
      <c r="F81" s="2">
        <f>IFERROR(SUMIF(Purchase_Entry!C:C,A81,Purchase_Entry!F:F),0)</f>
        <v>160</v>
      </c>
      <c r="G81" s="2">
        <f>IFERROR(SUMIF(Sales_Entry!D:D,A81,Sales_Entry!G:G),0)</f>
        <v>19</v>
      </c>
      <c r="H81" s="2">
        <f>F81-G81</f>
        <v>141</v>
      </c>
      <c r="I81" s="2">
        <v>80</v>
      </c>
      <c r="J81" s="4">
        <f>H81*D81</f>
        <v>8601</v>
      </c>
      <c r="K81" s="2">
        <f ca="1">IFERROR(Medicine_Master!H81-TODAY(),"")</f>
        <v>670</v>
      </c>
      <c r="L81" s="2" t="str">
        <f ca="1">IFERROR(IF(Medicine_Master!H81&lt;TODAY(),"EXPIRED",IF(Medicine_Master!H81-TODAY()&lt;30,"URGENT",IF(Medicine_Master!H81-TODAY()&lt;60,"WARNING","OK"))),"OK")</f>
        <v>OK</v>
      </c>
      <c r="M81" s="2" t="str">
        <f>IF(H81&lt;I81,"YES","NO")</f>
        <v>NO</v>
      </c>
      <c r="N81" s="2">
        <f>IFERROR(IF(H81&lt;I81,MAX(I81-H81,ROUNDUP(SUMIF(Sales_Entry!D:D,A81,Sales_Entry!G:G)/90*30,0)),0),0)</f>
        <v>0</v>
      </c>
      <c r="O81" s="18" t="str">
        <f ca="1">IFERROR(IF(SUMIF(Sales_Entry!C:C,"&gt;="&amp;(TODAY()-60),Sales_Entry!G:G)=0,"Slow Moving","Active"),"Active")</f>
        <v>Active</v>
      </c>
    </row>
    <row r="82" spans="1:15" ht="19.5" customHeight="1">
      <c r="A82" s="15" t="s">
        <v>275</v>
      </c>
      <c r="B82" s="8" t="s">
        <v>276</v>
      </c>
      <c r="C82" s="5" t="s">
        <v>174</v>
      </c>
      <c r="D82" s="7">
        <v>17</v>
      </c>
      <c r="E82" s="7">
        <v>35</v>
      </c>
      <c r="F82" s="5">
        <f>IFERROR(SUMIF(Purchase_Entry!C:C,A82,Purchase_Entry!F:F),0)</f>
        <v>366</v>
      </c>
      <c r="G82" s="5">
        <f>IFERROR(SUMIF(Sales_Entry!D:D,A82,Sales_Entry!G:G),0)</f>
        <v>20</v>
      </c>
      <c r="H82" s="5">
        <f>F82-G82</f>
        <v>346</v>
      </c>
      <c r="I82" s="5">
        <v>130</v>
      </c>
      <c r="J82" s="7">
        <f>H82*D82</f>
        <v>5882</v>
      </c>
      <c r="K82" s="5">
        <f ca="1">IFERROR(Medicine_Master!H82-TODAY(),"")</f>
        <v>485</v>
      </c>
      <c r="L82" s="5" t="str">
        <f ca="1">IFERROR(IF(Medicine_Master!H82&lt;TODAY(),"EXPIRED",IF(Medicine_Master!H82-TODAY()&lt;30,"URGENT",IF(Medicine_Master!H82-TODAY()&lt;60,"WARNING","OK"))),"OK")</f>
        <v>OK</v>
      </c>
      <c r="M82" s="5" t="str">
        <f>IF(H82&lt;I82,"YES","NO")</f>
        <v>NO</v>
      </c>
      <c r="N82" s="5">
        <f>IFERROR(IF(H82&lt;I82,MAX(I82-H82,ROUNDUP(SUMIF(Sales_Entry!D:D,A82,Sales_Entry!G:G)/90*30,0)),0),0)</f>
        <v>0</v>
      </c>
      <c r="O82" s="17" t="str">
        <f ca="1">IFERROR(IF(SUMIF(Sales_Entry!C:C,"&gt;="&amp;(TODAY()-60),Sales_Entry!G:G)=0,"Slow Moving","Active"),"Active")</f>
        <v>Active</v>
      </c>
    </row>
    <row r="83" spans="1:15" ht="19.5" customHeight="1">
      <c r="A83" s="16" t="s">
        <v>277</v>
      </c>
      <c r="B83" s="9" t="s">
        <v>278</v>
      </c>
      <c r="C83" s="2" t="s">
        <v>187</v>
      </c>
      <c r="D83" s="4">
        <v>46</v>
      </c>
      <c r="E83" s="4">
        <v>95</v>
      </c>
      <c r="F83" s="2">
        <f>IFERROR(SUMIF(Purchase_Entry!C:C,A83,Purchase_Entry!F:F),0)</f>
        <v>298</v>
      </c>
      <c r="G83" s="2">
        <f>IFERROR(SUMIF(Sales_Entry!D:D,A83,Sales_Entry!G:G),0)</f>
        <v>54</v>
      </c>
      <c r="H83" s="2">
        <f>F83-G83</f>
        <v>244</v>
      </c>
      <c r="I83" s="2">
        <v>80</v>
      </c>
      <c r="J83" s="4">
        <f>H83*D83</f>
        <v>11224</v>
      </c>
      <c r="K83" s="2">
        <f ca="1">IFERROR(Medicine_Master!H83-TODAY(),"")</f>
        <v>347</v>
      </c>
      <c r="L83" s="2" t="str">
        <f ca="1">IFERROR(IF(Medicine_Master!H83&lt;TODAY(),"EXPIRED",IF(Medicine_Master!H83-TODAY()&lt;30,"URGENT",IF(Medicine_Master!H83-TODAY()&lt;60,"WARNING","OK"))),"OK")</f>
        <v>OK</v>
      </c>
      <c r="M83" s="2" t="str">
        <f>IF(H83&lt;I83,"YES","NO")</f>
        <v>NO</v>
      </c>
      <c r="N83" s="2">
        <f>IFERROR(IF(H83&lt;I83,MAX(I83-H83,ROUNDUP(SUMIF(Sales_Entry!D:D,A83,Sales_Entry!G:G)/90*30,0)),0),0)</f>
        <v>0</v>
      </c>
      <c r="O83" s="18" t="str">
        <f ca="1">IFERROR(IF(SUMIF(Sales_Entry!C:C,"&gt;="&amp;(TODAY()-60),Sales_Entry!G:G)=0,"Slow Moving","Active"),"Active")</f>
        <v>Active</v>
      </c>
    </row>
    <row r="84" spans="1:15" ht="19.5" customHeight="1">
      <c r="A84" s="15" t="s">
        <v>279</v>
      </c>
      <c r="B84" s="8" t="s">
        <v>280</v>
      </c>
      <c r="C84" s="5" t="s">
        <v>187</v>
      </c>
      <c r="D84" s="7">
        <v>41</v>
      </c>
      <c r="E84" s="7">
        <v>85</v>
      </c>
      <c r="F84" s="5">
        <f>IFERROR(SUMIF(Purchase_Entry!C:C,A84,Purchase_Entry!F:F),0)</f>
        <v>0</v>
      </c>
      <c r="G84" s="5">
        <f>IFERROR(SUMIF(Sales_Entry!D:D,A84,Sales_Entry!G:G),0)</f>
        <v>0</v>
      </c>
      <c r="H84" s="5">
        <f>F84-G84</f>
        <v>0</v>
      </c>
      <c r="I84" s="5">
        <v>100</v>
      </c>
      <c r="J84" s="7">
        <f>H84*D84</f>
        <v>0</v>
      </c>
      <c r="K84" s="5">
        <f ca="1">IFERROR(Medicine_Master!H84-TODAY(),"")</f>
        <v>210</v>
      </c>
      <c r="L84" s="5" t="str">
        <f ca="1">IFERROR(IF(Medicine_Master!H84&lt;TODAY(),"EXPIRED",IF(Medicine_Master!H84-TODAY()&lt;30,"URGENT",IF(Medicine_Master!H84-TODAY()&lt;60,"WARNING","OK"))),"OK")</f>
        <v>OK</v>
      </c>
      <c r="M84" s="5" t="str">
        <f>IF(H84&lt;I84,"YES","NO")</f>
        <v>YES</v>
      </c>
      <c r="N84" s="5">
        <f>IFERROR(IF(H84&lt;I84,MAX(I84-H84,ROUNDUP(SUMIF(Sales_Entry!D:D,A84,Sales_Entry!G:G)/90*30,0)),0),0)</f>
        <v>100</v>
      </c>
      <c r="O84" s="17" t="str">
        <f ca="1">IFERROR(IF(SUMIF(Sales_Entry!C:C,"&gt;="&amp;(TODAY()-60),Sales_Entry!G:G)=0,"Slow Moving","Active"),"Active")</f>
        <v>Active</v>
      </c>
    </row>
    <row r="85" spans="1:15" ht="19.5" customHeight="1">
      <c r="A85" s="16" t="s">
        <v>281</v>
      </c>
      <c r="B85" s="9" t="s">
        <v>282</v>
      </c>
      <c r="C85" s="2" t="s">
        <v>187</v>
      </c>
      <c r="D85" s="4">
        <v>31</v>
      </c>
      <c r="E85" s="4">
        <v>65</v>
      </c>
      <c r="F85" s="2">
        <f>IFERROR(SUMIF(Purchase_Entry!C:C,A85,Purchase_Entry!F:F),0)</f>
        <v>728</v>
      </c>
      <c r="G85" s="2">
        <f>IFERROR(SUMIF(Sales_Entry!D:D,A85,Sales_Entry!G:G),0)</f>
        <v>23</v>
      </c>
      <c r="H85" s="2">
        <f>F85-G85</f>
        <v>705</v>
      </c>
      <c r="I85" s="2">
        <v>120</v>
      </c>
      <c r="J85" s="4">
        <f>H85*D85</f>
        <v>21855</v>
      </c>
      <c r="K85" s="2">
        <f ca="1">IFERROR(Medicine_Master!H85-TODAY(),"")</f>
        <v>198</v>
      </c>
      <c r="L85" s="2" t="str">
        <f ca="1">IFERROR(IF(Medicine_Master!H85&lt;TODAY(),"EXPIRED",IF(Medicine_Master!H85-TODAY()&lt;30,"URGENT",IF(Medicine_Master!H85-TODAY()&lt;60,"WARNING","OK"))),"OK")</f>
        <v>OK</v>
      </c>
      <c r="M85" s="2" t="str">
        <f>IF(H85&lt;I85,"YES","NO")</f>
        <v>NO</v>
      </c>
      <c r="N85" s="2">
        <f>IFERROR(IF(H85&lt;I85,MAX(I85-H85,ROUNDUP(SUMIF(Sales_Entry!D:D,A85,Sales_Entry!G:G)/90*30,0)),0),0)</f>
        <v>0</v>
      </c>
      <c r="O85" s="18" t="str">
        <f ca="1">IFERROR(IF(SUMIF(Sales_Entry!C:C,"&gt;="&amp;(TODAY()-60),Sales_Entry!G:G)=0,"Slow Moving","Active"),"Active")</f>
        <v>Active</v>
      </c>
    </row>
    <row r="86" spans="1:15" ht="19.5" customHeight="1">
      <c r="A86" s="15" t="s">
        <v>283</v>
      </c>
      <c r="B86" s="8" t="s">
        <v>284</v>
      </c>
      <c r="C86" s="5" t="s">
        <v>198</v>
      </c>
      <c r="D86" s="7">
        <v>31</v>
      </c>
      <c r="E86" s="7">
        <v>65</v>
      </c>
      <c r="F86" s="5">
        <f>IFERROR(SUMIF(Purchase_Entry!C:C,A86,Purchase_Entry!F:F),0)</f>
        <v>0</v>
      </c>
      <c r="G86" s="5">
        <f>IFERROR(SUMIF(Sales_Entry!D:D,A86,Sales_Entry!G:G),0)</f>
        <v>0</v>
      </c>
      <c r="H86" s="5">
        <f>F86-G86</f>
        <v>0</v>
      </c>
      <c r="I86" s="5">
        <v>80</v>
      </c>
      <c r="J86" s="7">
        <f>H86*D86</f>
        <v>0</v>
      </c>
      <c r="K86" s="5">
        <f ca="1">IFERROR(Medicine_Master!H86-TODAY(),"")</f>
        <v>50</v>
      </c>
      <c r="L86" s="5" t="str">
        <f ca="1">IFERROR(IF(Medicine_Master!H86&lt;TODAY(),"EXPIRED",IF(Medicine_Master!H86-TODAY()&lt;30,"URGENT",IF(Medicine_Master!H86-TODAY()&lt;60,"WARNING","OK"))),"OK")</f>
        <v>WARNING</v>
      </c>
      <c r="M86" s="5" t="str">
        <f>IF(H86&lt;I86,"YES","NO")</f>
        <v>YES</v>
      </c>
      <c r="N86" s="5">
        <f>IFERROR(IF(H86&lt;I86,MAX(I86-H86,ROUNDUP(SUMIF(Sales_Entry!D:D,A86,Sales_Entry!G:G)/90*30,0)),0),0)</f>
        <v>80</v>
      </c>
      <c r="O86" s="17" t="str">
        <f ca="1">IFERROR(IF(SUMIF(Sales_Entry!C:C,"&gt;="&amp;(TODAY()-60),Sales_Entry!G:G)=0,"Slow Moving","Active"),"Active")</f>
        <v>Active</v>
      </c>
    </row>
    <row r="87" spans="1:15" ht="19.5" customHeight="1">
      <c r="A87" s="16" t="s">
        <v>285</v>
      </c>
      <c r="B87" s="9" t="s">
        <v>286</v>
      </c>
      <c r="C87" s="2" t="s">
        <v>198</v>
      </c>
      <c r="D87" s="4">
        <v>61</v>
      </c>
      <c r="E87" s="4">
        <v>125</v>
      </c>
      <c r="F87" s="2">
        <f>IFERROR(SUMIF(Purchase_Entry!C:C,A87,Purchase_Entry!F:F),0)</f>
        <v>1033</v>
      </c>
      <c r="G87" s="2">
        <f>IFERROR(SUMIF(Sales_Entry!D:D,A87,Sales_Entry!G:G),0)</f>
        <v>16</v>
      </c>
      <c r="H87" s="2">
        <f>F87-G87</f>
        <v>1017</v>
      </c>
      <c r="I87" s="2">
        <v>50</v>
      </c>
      <c r="J87" s="4">
        <f>H87*D87</f>
        <v>62037</v>
      </c>
      <c r="K87" s="2">
        <f ca="1">IFERROR(Medicine_Master!H87-TODAY(),"")</f>
        <v>39</v>
      </c>
      <c r="L87" s="2" t="str">
        <f ca="1">IFERROR(IF(Medicine_Master!H87&lt;TODAY(),"EXPIRED",IF(Medicine_Master!H87-TODAY()&lt;30,"URGENT",IF(Medicine_Master!H87-TODAY()&lt;60,"WARNING","OK"))),"OK")</f>
        <v>WARNING</v>
      </c>
      <c r="M87" s="2" t="str">
        <f>IF(H87&lt;I87,"YES","NO")</f>
        <v>NO</v>
      </c>
      <c r="N87" s="2">
        <f>IFERROR(IF(H87&lt;I87,MAX(I87-H87,ROUNDUP(SUMIF(Sales_Entry!D:D,A87,Sales_Entry!G:G)/90*30,0)),0),0)</f>
        <v>0</v>
      </c>
      <c r="O87" s="18" t="str">
        <f ca="1">IFERROR(IF(SUMIF(Sales_Entry!C:C,"&gt;="&amp;(TODAY()-60),Sales_Entry!G:G)=0,"Slow Moving","Active"),"Active")</f>
        <v>Active</v>
      </c>
    </row>
    <row r="88" spans="1:15" ht="19.5" customHeight="1">
      <c r="A88" s="15" t="s">
        <v>287</v>
      </c>
      <c r="B88" s="8" t="s">
        <v>288</v>
      </c>
      <c r="C88" s="5" t="s">
        <v>211</v>
      </c>
      <c r="D88" s="7">
        <v>61</v>
      </c>
      <c r="E88" s="7">
        <v>125</v>
      </c>
      <c r="F88" s="5">
        <f>IFERROR(SUMIF(Purchase_Entry!C:C,A88,Purchase_Entry!F:F),0)</f>
        <v>1339</v>
      </c>
      <c r="G88" s="5">
        <f>IFERROR(SUMIF(Sales_Entry!D:D,A88,Sales_Entry!G:G),0)</f>
        <v>17</v>
      </c>
      <c r="H88" s="5">
        <f>F88-G88</f>
        <v>1322</v>
      </c>
      <c r="I88" s="5">
        <v>60</v>
      </c>
      <c r="J88" s="7">
        <f>H88*D88</f>
        <v>80642</v>
      </c>
      <c r="K88" s="5">
        <f ca="1">IFERROR(Medicine_Master!H88-TODAY(),"")</f>
        <v>10</v>
      </c>
      <c r="L88" s="5" t="str">
        <f ca="1">IFERROR(IF(Medicine_Master!H88&lt;TODAY(),"EXPIRED",IF(Medicine_Master!H88-TODAY()&lt;30,"URGENT",IF(Medicine_Master!H88-TODAY()&lt;60,"WARNING","OK"))),"OK")</f>
        <v>URGENT</v>
      </c>
      <c r="M88" s="5" t="str">
        <f>IF(H88&lt;I88,"YES","NO")</f>
        <v>NO</v>
      </c>
      <c r="N88" s="5">
        <f>IFERROR(IF(H88&lt;I88,MAX(I88-H88,ROUNDUP(SUMIF(Sales_Entry!D:D,A88,Sales_Entry!G:G)/90*30,0)),0),0)</f>
        <v>0</v>
      </c>
      <c r="O88" s="17" t="str">
        <f ca="1">IFERROR(IF(SUMIF(Sales_Entry!C:C,"&gt;="&amp;(TODAY()-60),Sales_Entry!G:G)=0,"Slow Moving","Active"),"Active")</f>
        <v>Active</v>
      </c>
    </row>
    <row r="89" spans="1:15" ht="19.5" customHeight="1">
      <c r="A89" s="16" t="s">
        <v>289</v>
      </c>
      <c r="B89" s="9" t="s">
        <v>290</v>
      </c>
      <c r="C89" s="2" t="s">
        <v>211</v>
      </c>
      <c r="D89" s="4">
        <v>70</v>
      </c>
      <c r="E89" s="4">
        <v>145</v>
      </c>
      <c r="F89" s="2">
        <f>IFERROR(SUMIF(Purchase_Entry!C:C,A89,Purchase_Entry!F:F),0)</f>
        <v>590</v>
      </c>
      <c r="G89" s="2">
        <f>IFERROR(SUMIF(Sales_Entry!D:D,A89,Sales_Entry!G:G),0)</f>
        <v>59</v>
      </c>
      <c r="H89" s="2">
        <f>F89-G89</f>
        <v>531</v>
      </c>
      <c r="I89" s="2">
        <v>50</v>
      </c>
      <c r="J89" s="4">
        <f>H89*D89</f>
        <v>37170</v>
      </c>
      <c r="K89" s="2">
        <f ca="1">IFERROR(Medicine_Master!H89-TODAY(),"")</f>
        <v>139</v>
      </c>
      <c r="L89" s="2" t="str">
        <f ca="1">IFERROR(IF(Medicine_Master!H89&lt;TODAY(),"EXPIRED",IF(Medicine_Master!H89-TODAY()&lt;30,"URGENT",IF(Medicine_Master!H89-TODAY()&lt;60,"WARNING","OK"))),"OK")</f>
        <v>OK</v>
      </c>
      <c r="M89" s="2" t="str">
        <f>IF(H89&lt;I89,"YES","NO")</f>
        <v>NO</v>
      </c>
      <c r="N89" s="2">
        <f>IFERROR(IF(H89&lt;I89,MAX(I89-H89,ROUNDUP(SUMIF(Sales_Entry!D:D,A89,Sales_Entry!G:G)/90*30,0)),0),0)</f>
        <v>0</v>
      </c>
      <c r="O89" s="18" t="str">
        <f ca="1">IFERROR(IF(SUMIF(Sales_Entry!C:C,"&gt;="&amp;(TODAY()-60),Sales_Entry!G:G)=0,"Slow Moving","Active"),"Active")</f>
        <v>Active</v>
      </c>
    </row>
    <row r="90" spans="1:15" ht="19.5" customHeight="1">
      <c r="A90" s="15" t="s">
        <v>291</v>
      </c>
      <c r="B90" s="8" t="s">
        <v>30</v>
      </c>
      <c r="C90" s="5" t="s">
        <v>211</v>
      </c>
      <c r="D90" s="7">
        <v>140</v>
      </c>
      <c r="E90" s="7">
        <v>285</v>
      </c>
      <c r="F90" s="5">
        <f>IFERROR(SUMIF(Purchase_Entry!C:C,A90,Purchase_Entry!F:F),0)</f>
        <v>309</v>
      </c>
      <c r="G90" s="5">
        <f>IFERROR(SUMIF(Sales_Entry!D:D,A90,Sales_Entry!G:G),0)</f>
        <v>68</v>
      </c>
      <c r="H90" s="5">
        <f>F90-G90</f>
        <v>241</v>
      </c>
      <c r="I90" s="5">
        <v>20</v>
      </c>
      <c r="J90" s="7">
        <f>H90*D90</f>
        <v>33740</v>
      </c>
      <c r="K90" s="5">
        <f ca="1">IFERROR(Medicine_Master!H90-TODAY(),"")</f>
        <v>263</v>
      </c>
      <c r="L90" s="5" t="str">
        <f ca="1">IFERROR(IF(Medicine_Master!H90&lt;TODAY(),"EXPIRED",IF(Medicine_Master!H90-TODAY()&lt;30,"URGENT",IF(Medicine_Master!H90-TODAY()&lt;60,"WARNING","OK"))),"OK")</f>
        <v>OK</v>
      </c>
      <c r="M90" s="5" t="str">
        <f>IF(H90&lt;I90,"YES","NO")</f>
        <v>NO</v>
      </c>
      <c r="N90" s="5">
        <f>IFERROR(IF(H90&lt;I90,MAX(I90-H90,ROUNDUP(SUMIF(Sales_Entry!D:D,A90,Sales_Entry!G:G)/90*30,0)),0),0)</f>
        <v>0</v>
      </c>
      <c r="O90" s="17" t="str">
        <f ca="1">IFERROR(IF(SUMIF(Sales_Entry!C:C,"&gt;="&amp;(TODAY()-60),Sales_Entry!G:G)=0,"Slow Moving","Active"),"Active")</f>
        <v>Active</v>
      </c>
    </row>
    <row r="91" spans="1:15" ht="19.5" customHeight="1">
      <c r="A91" s="16" t="s">
        <v>293</v>
      </c>
      <c r="B91" s="9" t="s">
        <v>294</v>
      </c>
      <c r="C91" s="2" t="s">
        <v>224</v>
      </c>
      <c r="D91" s="4">
        <v>80</v>
      </c>
      <c r="E91" s="4">
        <v>165</v>
      </c>
      <c r="F91" s="2">
        <f>IFERROR(SUMIF(Purchase_Entry!C:C,A91,Purchase_Entry!F:F),0)</f>
        <v>315</v>
      </c>
      <c r="G91" s="2">
        <f>IFERROR(SUMIF(Sales_Entry!D:D,A91,Sales_Entry!G:G),0)</f>
        <v>67</v>
      </c>
      <c r="H91" s="2">
        <f>F91-G91</f>
        <v>248</v>
      </c>
      <c r="I91" s="2">
        <v>50</v>
      </c>
      <c r="J91" s="4">
        <f>H91*D91</f>
        <v>19840</v>
      </c>
      <c r="K91" s="2">
        <f ca="1">IFERROR(Medicine_Master!H91-TODAY(),"")</f>
        <v>42</v>
      </c>
      <c r="L91" s="2" t="str">
        <f ca="1">IFERROR(IF(Medicine_Master!H91&lt;TODAY(),"EXPIRED",IF(Medicine_Master!H91-TODAY()&lt;30,"URGENT",IF(Medicine_Master!H91-TODAY()&lt;60,"WARNING","OK"))),"OK")</f>
        <v>WARNING</v>
      </c>
      <c r="M91" s="2" t="str">
        <f>IF(H91&lt;I91,"YES","NO")</f>
        <v>NO</v>
      </c>
      <c r="N91" s="2">
        <f>IFERROR(IF(H91&lt;I91,MAX(I91-H91,ROUNDUP(SUMIF(Sales_Entry!D:D,A91,Sales_Entry!G:G)/90*30,0)),0),0)</f>
        <v>0</v>
      </c>
      <c r="O91" s="18" t="str">
        <f ca="1">IFERROR(IF(SUMIF(Sales_Entry!C:C,"&gt;="&amp;(TODAY()-60),Sales_Entry!G:G)=0,"Slow Moving","Active"),"Active")</f>
        <v>Active</v>
      </c>
    </row>
    <row r="92" spans="1:15" ht="19.5" customHeight="1">
      <c r="A92" s="15" t="s">
        <v>295</v>
      </c>
      <c r="B92" s="8" t="s">
        <v>296</v>
      </c>
      <c r="C92" s="5" t="s">
        <v>224</v>
      </c>
      <c r="D92" s="7">
        <v>95</v>
      </c>
      <c r="E92" s="7">
        <v>195</v>
      </c>
      <c r="F92" s="5">
        <f>IFERROR(SUMIF(Purchase_Entry!C:C,A92,Purchase_Entry!F:F),0)</f>
        <v>159</v>
      </c>
      <c r="G92" s="5">
        <f>IFERROR(SUMIF(Sales_Entry!D:D,A92,Sales_Entry!G:G),0)</f>
        <v>0</v>
      </c>
      <c r="H92" s="5">
        <f>F92-G92</f>
        <v>159</v>
      </c>
      <c r="I92" s="5">
        <v>40</v>
      </c>
      <c r="J92" s="7">
        <f>H92*D92</f>
        <v>15105</v>
      </c>
      <c r="K92" s="5">
        <f ca="1">IFERROR(Medicine_Master!H92-TODAY(),"")</f>
        <v>354</v>
      </c>
      <c r="L92" s="5" t="str">
        <f ca="1">IFERROR(IF(Medicine_Master!H92&lt;TODAY(),"EXPIRED",IF(Medicine_Master!H92-TODAY()&lt;30,"URGENT",IF(Medicine_Master!H92-TODAY()&lt;60,"WARNING","OK"))),"OK")</f>
        <v>OK</v>
      </c>
      <c r="M92" s="5" t="str">
        <f>IF(H92&lt;I92,"YES","NO")</f>
        <v>NO</v>
      </c>
      <c r="N92" s="5">
        <f>IFERROR(IF(H92&lt;I92,MAX(I92-H92,ROUNDUP(SUMIF(Sales_Entry!D:D,A92,Sales_Entry!G:G)/90*30,0)),0),0)</f>
        <v>0</v>
      </c>
      <c r="O92" s="17" t="str">
        <f ca="1">IFERROR(IF(SUMIF(Sales_Entry!C:C,"&gt;="&amp;(TODAY()-60),Sales_Entry!G:G)=0,"Slow Moving","Active"),"Active")</f>
        <v>Active</v>
      </c>
    </row>
    <row r="93" spans="1:15" ht="19.5" customHeight="1">
      <c r="A93" s="16" t="s">
        <v>297</v>
      </c>
      <c r="B93" s="9" t="s">
        <v>298</v>
      </c>
      <c r="C93" s="2" t="s">
        <v>224</v>
      </c>
      <c r="D93" s="4">
        <v>61</v>
      </c>
      <c r="E93" s="4">
        <v>125</v>
      </c>
      <c r="F93" s="2">
        <f>IFERROR(SUMIF(Purchase_Entry!C:C,A93,Purchase_Entry!F:F),0)</f>
        <v>406</v>
      </c>
      <c r="G93" s="2">
        <f>IFERROR(SUMIF(Sales_Entry!D:D,A93,Sales_Entry!G:G),0)</f>
        <v>49</v>
      </c>
      <c r="H93" s="2">
        <f>F93-G93</f>
        <v>357</v>
      </c>
      <c r="I93" s="2">
        <v>60</v>
      </c>
      <c r="J93" s="4">
        <f>H93*D93</f>
        <v>21777</v>
      </c>
      <c r="K93" s="2">
        <f ca="1">IFERROR(Medicine_Master!H93-TODAY(),"")</f>
        <v>102</v>
      </c>
      <c r="L93" s="2" t="str">
        <f ca="1">IFERROR(IF(Medicine_Master!H93&lt;TODAY(),"EXPIRED",IF(Medicine_Master!H93-TODAY()&lt;30,"URGENT",IF(Medicine_Master!H93-TODAY()&lt;60,"WARNING","OK"))),"OK")</f>
        <v>OK</v>
      </c>
      <c r="M93" s="2" t="str">
        <f>IF(H93&lt;I93,"YES","NO")</f>
        <v>NO</v>
      </c>
      <c r="N93" s="2">
        <f>IFERROR(IF(H93&lt;I93,MAX(I93-H93,ROUNDUP(SUMIF(Sales_Entry!D:D,A93,Sales_Entry!G:G)/90*30,0)),0),0)</f>
        <v>0</v>
      </c>
      <c r="O93" s="18" t="str">
        <f ca="1">IFERROR(IF(SUMIF(Sales_Entry!C:C,"&gt;="&amp;(TODAY()-60),Sales_Entry!G:G)=0,"Slow Moving","Active"),"Active")</f>
        <v>Active</v>
      </c>
    </row>
    <row r="94" spans="1:15" ht="19.5" customHeight="1">
      <c r="A94" s="15" t="s">
        <v>299</v>
      </c>
      <c r="B94" s="8" t="s">
        <v>300</v>
      </c>
      <c r="C94" s="5" t="s">
        <v>224</v>
      </c>
      <c r="D94" s="7">
        <v>90</v>
      </c>
      <c r="E94" s="7">
        <v>185</v>
      </c>
      <c r="F94" s="5">
        <f>IFERROR(SUMIF(Purchase_Entry!C:C,A94,Purchase_Entry!F:F),0)</f>
        <v>203</v>
      </c>
      <c r="G94" s="5">
        <f>IFERROR(SUMIF(Sales_Entry!D:D,A94,Sales_Entry!G:G),0)</f>
        <v>47</v>
      </c>
      <c r="H94" s="5">
        <f>F94-G94</f>
        <v>156</v>
      </c>
      <c r="I94" s="5">
        <v>40</v>
      </c>
      <c r="J94" s="7">
        <f>H94*D94</f>
        <v>14040</v>
      </c>
      <c r="K94" s="5">
        <f ca="1">IFERROR(Medicine_Master!H94-TODAY(),"")</f>
        <v>383</v>
      </c>
      <c r="L94" s="5" t="str">
        <f ca="1">IFERROR(IF(Medicine_Master!H94&lt;TODAY(),"EXPIRED",IF(Medicine_Master!H94-TODAY()&lt;30,"URGENT",IF(Medicine_Master!H94-TODAY()&lt;60,"WARNING","OK"))),"OK")</f>
        <v>OK</v>
      </c>
      <c r="M94" s="5" t="str">
        <f>IF(H94&lt;I94,"YES","NO")</f>
        <v>NO</v>
      </c>
      <c r="N94" s="5">
        <f>IFERROR(IF(H94&lt;I94,MAX(I94-H94,ROUNDUP(SUMIF(Sales_Entry!D:D,A94,Sales_Entry!G:G)/90*30,0)),0),0)</f>
        <v>0</v>
      </c>
      <c r="O94" s="17" t="str">
        <f ca="1">IFERROR(IF(SUMIF(Sales_Entry!C:C,"&gt;="&amp;(TODAY()-60),Sales_Entry!G:G)=0,"Slow Moving","Active"),"Active")</f>
        <v>Active</v>
      </c>
    </row>
    <row r="95" spans="1:15" ht="19.5" customHeight="1">
      <c r="A95" s="16" t="s">
        <v>301</v>
      </c>
      <c r="B95" s="9" t="s">
        <v>302</v>
      </c>
      <c r="C95" s="2" t="s">
        <v>224</v>
      </c>
      <c r="D95" s="4">
        <v>70</v>
      </c>
      <c r="E95" s="4">
        <v>145</v>
      </c>
      <c r="F95" s="2">
        <f>IFERROR(SUMIF(Purchase_Entry!C:C,A95,Purchase_Entry!F:F),0)</f>
        <v>285</v>
      </c>
      <c r="G95" s="2">
        <f>IFERROR(SUMIF(Sales_Entry!D:D,A95,Sales_Entry!G:G),0)</f>
        <v>47</v>
      </c>
      <c r="H95" s="2">
        <f>F95-G95</f>
        <v>238</v>
      </c>
      <c r="I95" s="2">
        <v>60</v>
      </c>
      <c r="J95" s="4">
        <f>H95*D95</f>
        <v>16660</v>
      </c>
      <c r="K95" s="2">
        <f ca="1">IFERROR(Medicine_Master!H95-TODAY(),"")</f>
        <v>405</v>
      </c>
      <c r="L95" s="2" t="str">
        <f ca="1">IFERROR(IF(Medicine_Master!H95&lt;TODAY(),"EXPIRED",IF(Medicine_Master!H95-TODAY()&lt;30,"URGENT",IF(Medicine_Master!H95-TODAY()&lt;60,"WARNING","OK"))),"OK")</f>
        <v>OK</v>
      </c>
      <c r="M95" s="2" t="str">
        <f>IF(H95&lt;I95,"YES","NO")</f>
        <v>NO</v>
      </c>
      <c r="N95" s="2">
        <f>IFERROR(IF(H95&lt;I95,MAX(I95-H95,ROUNDUP(SUMIF(Sales_Entry!D:D,A95,Sales_Entry!G:G)/90*30,0)),0),0)</f>
        <v>0</v>
      </c>
      <c r="O95" s="18" t="str">
        <f ca="1">IFERROR(IF(SUMIF(Sales_Entry!C:C,"&gt;="&amp;(TODAY()-60),Sales_Entry!G:G)=0,"Slow Moving","Active"),"Active")</f>
        <v>Active</v>
      </c>
    </row>
    <row r="96" spans="1:15" ht="19.5" customHeight="1">
      <c r="A96" s="15" t="s">
        <v>303</v>
      </c>
      <c r="B96" s="8" t="s">
        <v>304</v>
      </c>
      <c r="C96" s="5" t="s">
        <v>224</v>
      </c>
      <c r="D96" s="7">
        <v>75</v>
      </c>
      <c r="E96" s="7">
        <v>155</v>
      </c>
      <c r="F96" s="5">
        <f>IFERROR(SUMIF(Purchase_Entry!C:C,A96,Purchase_Entry!F:F),0)</f>
        <v>322</v>
      </c>
      <c r="G96" s="5">
        <f>IFERROR(SUMIF(Sales_Entry!D:D,A96,Sales_Entry!G:G),0)</f>
        <v>16</v>
      </c>
      <c r="H96" s="5">
        <f>F96-G96</f>
        <v>306</v>
      </c>
      <c r="I96" s="5">
        <v>50</v>
      </c>
      <c r="J96" s="7">
        <f>H96*D96</f>
        <v>22950</v>
      </c>
      <c r="K96" s="5">
        <f ca="1">IFERROR(Medicine_Master!H96-TODAY(),"")</f>
        <v>75</v>
      </c>
      <c r="L96" s="5" t="str">
        <f ca="1">IFERROR(IF(Medicine_Master!H96&lt;TODAY(),"EXPIRED",IF(Medicine_Master!H96-TODAY()&lt;30,"URGENT",IF(Medicine_Master!H96-TODAY()&lt;60,"WARNING","OK"))),"OK")</f>
        <v>OK</v>
      </c>
      <c r="M96" s="5" t="str">
        <f>IF(H96&lt;I96,"YES","NO")</f>
        <v>NO</v>
      </c>
      <c r="N96" s="5">
        <f>IFERROR(IF(H96&lt;I96,MAX(I96-H96,ROUNDUP(SUMIF(Sales_Entry!D:D,A96,Sales_Entry!G:G)/90*30,0)),0),0)</f>
        <v>0</v>
      </c>
      <c r="O96" s="17" t="str">
        <f ca="1">IFERROR(IF(SUMIF(Sales_Entry!C:C,"&gt;="&amp;(TODAY()-60),Sales_Entry!G:G)=0,"Slow Moving","Active"),"Active")</f>
        <v>Active</v>
      </c>
    </row>
    <row r="97" spans="1:15" ht="19.5" customHeight="1">
      <c r="A97" s="22" t="s">
        <v>305</v>
      </c>
      <c r="B97" s="23" t="s">
        <v>306</v>
      </c>
      <c r="C97" s="24" t="s">
        <v>224</v>
      </c>
      <c r="D97" s="27">
        <v>210</v>
      </c>
      <c r="E97" s="27">
        <v>425</v>
      </c>
      <c r="F97" s="24">
        <f>IFERROR(SUMIF(Purchase_Entry!C:C,A97,Purchase_Entry!F:F),0)</f>
        <v>210</v>
      </c>
      <c r="G97" s="24">
        <f>IFERROR(SUMIF(Sales_Entry!D:D,A97,Sales_Entry!G:G),0)</f>
        <v>0</v>
      </c>
      <c r="H97" s="24">
        <f>F97-G97</f>
        <v>210</v>
      </c>
      <c r="I97" s="24">
        <v>25</v>
      </c>
      <c r="J97" s="27">
        <f>H97*D97</f>
        <v>44100</v>
      </c>
      <c r="K97" s="24">
        <f ca="1">IFERROR(Medicine_Master!H97-TODAY(),"")</f>
        <v>477</v>
      </c>
      <c r="L97" s="24" t="str">
        <f ca="1">IFERROR(IF(Medicine_Master!H97&lt;TODAY(),"EXPIRED",IF(Medicine_Master!H97-TODAY()&lt;30,"URGENT",IF(Medicine_Master!H97-TODAY()&lt;60,"WARNING","OK"))),"OK")</f>
        <v>OK</v>
      </c>
      <c r="M97" s="24" t="str">
        <f>IF(H97&lt;I97,"YES","NO")</f>
        <v>NO</v>
      </c>
      <c r="N97" s="24">
        <f>IFERROR(IF(H97&lt;I97,MAX(I97-H97,ROUNDUP(SUMIF(Sales_Entry!D:D,A97,Sales_Entry!G:G)/90*30,0)),0),0)</f>
        <v>0</v>
      </c>
      <c r="O97" s="26" t="str">
        <f ca="1">IFERROR(IF(SUMIF(Sales_Entry!C:C,"&gt;="&amp;(TODAY()-60),Sales_Entry!G:G)=0,"Slow Moving","Active"),"Active")</f>
        <v>Active</v>
      </c>
    </row>
  </sheetData>
  <conditionalFormatting sqref="L2:L101">
    <cfRule type="expression" dxfId="76" priority="2">
      <formula>$L2="URGENT"</formula>
    </cfRule>
    <cfRule type="expression" dxfId="75" priority="3">
      <formula>$L2="WARNING"</formula>
    </cfRule>
    <cfRule type="expression" dxfId="74" priority="4">
      <formula>$L2="OK"</formula>
    </cfRule>
    <cfRule type="expression" dxfId="73" priority="5">
      <formula>$L2="EXPIRED"</formula>
    </cfRule>
  </conditionalFormatting>
  <conditionalFormatting sqref="M2:M101">
    <cfRule type="expression" dxfId="72" priority="6">
      <formula>$M2="YES"</formula>
    </cfRule>
  </conditionalFormatting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98"/>
  <sheetViews>
    <sheetView showGridLines="0" zoomScaleNormal="100" workbookViewId="0">
      <pane ySplit="2" topLeftCell="A4" activePane="bottomLeft" state="frozen"/>
      <selection pane="bottomLeft" activeCell="K8" sqref="K8"/>
    </sheetView>
  </sheetViews>
  <sheetFormatPr defaultColWidth="8.7109375" defaultRowHeight="15"/>
  <cols>
    <col min="1" max="1" width="9.7109375" style="1" customWidth="1"/>
    <col min="2" max="2" width="28" style="1" customWidth="1"/>
    <col min="3" max="3" width="18" style="1" customWidth="1"/>
    <col min="4" max="4" width="16" style="1" customWidth="1"/>
    <col min="5" max="5" width="14" style="1" customWidth="1"/>
    <col min="6" max="6" width="18.140625" style="1" customWidth="1"/>
    <col min="7" max="7" width="15.5703125" style="1" customWidth="1"/>
    <col min="8" max="8" width="17.85546875" style="1" customWidth="1"/>
    <col min="9" max="9" width="21.140625" style="1" customWidth="1"/>
  </cols>
  <sheetData>
    <row r="1" spans="1:9" ht="39.75" customHeight="1">
      <c r="A1" s="103" t="s">
        <v>783</v>
      </c>
      <c r="B1" s="103"/>
      <c r="C1" s="103"/>
      <c r="D1" s="103"/>
      <c r="E1" s="103"/>
      <c r="F1" s="103"/>
      <c r="G1" s="103"/>
      <c r="H1" s="103"/>
      <c r="I1" s="103"/>
    </row>
    <row r="2" spans="1:9" ht="31.5" customHeight="1">
      <c r="A2" s="19" t="s">
        <v>55</v>
      </c>
      <c r="B2" s="20" t="s">
        <v>28</v>
      </c>
      <c r="C2" s="20" t="s">
        <v>56</v>
      </c>
      <c r="D2" s="20" t="s">
        <v>69</v>
      </c>
      <c r="E2" s="20" t="s">
        <v>61</v>
      </c>
      <c r="F2" s="20" t="s">
        <v>77</v>
      </c>
      <c r="G2" s="20" t="s">
        <v>72</v>
      </c>
      <c r="H2" s="20" t="s">
        <v>59</v>
      </c>
      <c r="I2" s="21" t="s">
        <v>78</v>
      </c>
    </row>
    <row r="3" spans="1:9" ht="19.5" customHeight="1">
      <c r="A3" s="15" t="s">
        <v>95</v>
      </c>
      <c r="B3" s="8" t="s">
        <v>96</v>
      </c>
      <c r="C3" s="5" t="s">
        <v>97</v>
      </c>
      <c r="D3" s="5">
        <f>IFERROR(SUMIF(Purchase_Entry!C:C,A3,Purchase_Entry!F:F)-SUMIF(Sales_Entry!D:D,A3,Sales_Entry!G:G),0)</f>
        <v>927</v>
      </c>
      <c r="E3" s="6">
        <v>46090</v>
      </c>
      <c r="F3" s="5">
        <f ca="1">IFERROR(Medicine_Master!H2-TODAY(),"")</f>
        <v>3</v>
      </c>
      <c r="G3" s="5" t="str">
        <f ca="1">IFERROR(IF(Medicine_Master!H2&lt;TODAY(),"EXPIRED",IF(Medicine_Master!H2-TODAY()&lt;30,"URGENT",IF(Medicine_Master!H2-TODAY()&lt;60,"WARNING","OK"))),"OK")</f>
        <v>URGENT</v>
      </c>
      <c r="H3" s="7">
        <v>22</v>
      </c>
      <c r="I3" s="28">
        <f>IFERROR(D3*H3,0)</f>
        <v>20394</v>
      </c>
    </row>
    <row r="4" spans="1:9" ht="19.5" customHeight="1">
      <c r="A4" s="16" t="s">
        <v>52</v>
      </c>
      <c r="B4" s="9" t="s">
        <v>39</v>
      </c>
      <c r="C4" s="2" t="s">
        <v>97</v>
      </c>
      <c r="D4" s="2">
        <f>IFERROR(SUMIF(Purchase_Entry!C:C,A4,Purchase_Entry!F:F)-SUMIF(Sales_Entry!D:D,A4,Sales_Entry!G:G),0)</f>
        <v>493</v>
      </c>
      <c r="E4" s="3">
        <v>46386</v>
      </c>
      <c r="F4" s="2">
        <f ca="1">IFERROR(Medicine_Master!H3-TODAY(),"")</f>
        <v>299</v>
      </c>
      <c r="G4" s="2" t="str">
        <f ca="1">IFERROR(IF(Medicine_Master!H3&lt;TODAY(),"EXPIRED",IF(Medicine_Master!H3-TODAY()&lt;30,"URGENT",IF(Medicine_Master!H3-TODAY()&lt;60,"WARNING","OK"))),"OK")</f>
        <v>OK</v>
      </c>
      <c r="H4" s="4">
        <v>110</v>
      </c>
      <c r="I4" s="29">
        <f>IFERROR(D4*H4,0)</f>
        <v>54230</v>
      </c>
    </row>
    <row r="5" spans="1:9" ht="19.5" customHeight="1">
      <c r="A5" s="15" t="s">
        <v>104</v>
      </c>
      <c r="B5" s="8" t="s">
        <v>34</v>
      </c>
      <c r="C5" s="5" t="s">
        <v>97</v>
      </c>
      <c r="D5" s="5">
        <f>IFERROR(SUMIF(Purchase_Entry!C:C,A5,Purchase_Entry!F:F)-SUMIF(Sales_Entry!D:D,A5,Sales_Entry!G:G),0)</f>
        <v>354</v>
      </c>
      <c r="E5" s="6">
        <v>46726</v>
      </c>
      <c r="F5" s="5">
        <f ca="1">IFERROR(Medicine_Master!H4-TODAY(),"")</f>
        <v>639</v>
      </c>
      <c r="G5" s="5" t="str">
        <f ca="1">IFERROR(IF(Medicine_Master!H4&lt;TODAY(),"EXPIRED",IF(Medicine_Master!H4-TODAY()&lt;30,"URGENT",IF(Medicine_Master!H4-TODAY()&lt;60,"WARNING","OK"))),"OK")</f>
        <v>OK</v>
      </c>
      <c r="H5" s="7">
        <v>88</v>
      </c>
      <c r="I5" s="28">
        <f>IFERROR(D5*H5,0)</f>
        <v>31152</v>
      </c>
    </row>
    <row r="6" spans="1:9" ht="19.5" customHeight="1">
      <c r="A6" s="16" t="s">
        <v>106</v>
      </c>
      <c r="B6" s="9" t="s">
        <v>33</v>
      </c>
      <c r="C6" s="2" t="s">
        <v>97</v>
      </c>
      <c r="D6" s="2">
        <f>IFERROR(SUMIF(Purchase_Entry!C:C,A6,Purchase_Entry!F:F)-SUMIF(Sales_Entry!D:D,A6,Sales_Entry!G:G),0)</f>
        <v>218</v>
      </c>
      <c r="E6" s="3">
        <v>46478</v>
      </c>
      <c r="F6" s="2">
        <f ca="1">IFERROR(Medicine_Master!H5-TODAY(),"")</f>
        <v>391</v>
      </c>
      <c r="G6" s="2" t="str">
        <f ca="1">IFERROR(IF(Medicine_Master!H5&lt;TODAY(),"EXPIRED",IF(Medicine_Master!H5-TODAY()&lt;30,"URGENT",IF(Medicine_Master!H5-TODAY()&lt;60,"WARNING","OK"))),"OK")</f>
        <v>OK</v>
      </c>
      <c r="H6" s="4">
        <v>46</v>
      </c>
      <c r="I6" s="29">
        <f>IFERROR(D6*H6,0)</f>
        <v>10028</v>
      </c>
    </row>
    <row r="7" spans="1:9" ht="19.5" customHeight="1">
      <c r="A7" s="15" t="s">
        <v>107</v>
      </c>
      <c r="B7" s="8" t="s">
        <v>108</v>
      </c>
      <c r="C7" s="5" t="s">
        <v>97</v>
      </c>
      <c r="D7" s="5">
        <f>IFERROR(SUMIF(Purchase_Entry!C:C,A7,Purchase_Entry!F:F)-SUMIF(Sales_Entry!D:D,A7,Sales_Entry!G:G),0)</f>
        <v>65</v>
      </c>
      <c r="E7" s="6">
        <v>46278</v>
      </c>
      <c r="F7" s="5">
        <f ca="1">IFERROR(Medicine_Master!H6-TODAY(),"")</f>
        <v>191</v>
      </c>
      <c r="G7" s="5" t="str">
        <f ca="1">IFERROR(IF(Medicine_Master!H6&lt;TODAY(),"EXPIRED",IF(Medicine_Master!H6-TODAY()&lt;30,"URGENT",IF(Medicine_Master!H6-TODAY()&lt;60,"WARNING","OK"))),"OK")</f>
        <v>OK</v>
      </c>
      <c r="H7" s="7">
        <v>17</v>
      </c>
      <c r="I7" s="28">
        <f>IFERROR(D7*H7,0)</f>
        <v>1105</v>
      </c>
    </row>
    <row r="8" spans="1:9" ht="19.5" customHeight="1">
      <c r="A8" s="16" t="s">
        <v>109</v>
      </c>
      <c r="B8" s="9" t="s">
        <v>110</v>
      </c>
      <c r="C8" s="2" t="s">
        <v>97</v>
      </c>
      <c r="D8" s="2">
        <f>IFERROR(SUMIF(Purchase_Entry!C:C,A8,Purchase_Entry!F:F)-SUMIF(Sales_Entry!D:D,A8,Sales_Entry!G:G),0)</f>
        <v>388</v>
      </c>
      <c r="E8" s="3">
        <v>46117</v>
      </c>
      <c r="F8" s="2">
        <f ca="1">IFERROR(Medicine_Master!H7-TODAY(),"")</f>
        <v>30</v>
      </c>
      <c r="G8" s="2" t="str">
        <f ca="1">IFERROR(IF(Medicine_Master!H7&lt;TODAY(),"EXPIRED",IF(Medicine_Master!H7-TODAY()&lt;30,"URGENT",IF(Medicine_Master!H7-TODAY()&lt;60,"WARNING","OK"))),"OK")</f>
        <v>WARNING</v>
      </c>
      <c r="H8" s="4">
        <v>58</v>
      </c>
      <c r="I8" s="29">
        <f>IFERROR(D8*H8,0)</f>
        <v>22504</v>
      </c>
    </row>
    <row r="9" spans="1:9" ht="19.5" customHeight="1">
      <c r="A9" s="15" t="s">
        <v>112</v>
      </c>
      <c r="B9" s="8" t="s">
        <v>782</v>
      </c>
      <c r="C9" s="5" t="s">
        <v>97</v>
      </c>
      <c r="D9" s="5">
        <f>IFERROR(SUMIF(Purchase_Entry!C:C,A9,Purchase_Entry!F:F)-SUMIF(Sales_Entry!D:D,A9,Sales_Entry!G:G),0)</f>
        <v>0</v>
      </c>
      <c r="E9" s="6">
        <v>46713</v>
      </c>
      <c r="F9" s="5">
        <f ca="1">IFERROR(Medicine_Master!H8-TODAY(),"")</f>
        <v>626</v>
      </c>
      <c r="G9" s="5" t="str">
        <f ca="1">IFERROR(IF(Medicine_Master!H8&lt;TODAY(),"EXPIRED",IF(Medicine_Master!H8-TODAY()&lt;30,"URGENT",IF(Medicine_Master!H8-TODAY()&lt;60,"WARNING","OK"))),"OK")</f>
        <v>OK</v>
      </c>
      <c r="H9" s="7">
        <v>41</v>
      </c>
      <c r="I9" s="28">
        <f>IFERROR(D9*H9,0)</f>
        <v>0</v>
      </c>
    </row>
    <row r="10" spans="1:9" ht="19.5" customHeight="1">
      <c r="A10" s="16" t="s">
        <v>113</v>
      </c>
      <c r="B10" s="9" t="s">
        <v>114</v>
      </c>
      <c r="C10" s="2" t="s">
        <v>115</v>
      </c>
      <c r="D10" s="2">
        <f>IFERROR(SUMIF(Purchase_Entry!C:C,A10,Purchase_Entry!F:F)-SUMIF(Sales_Entry!D:D,A10,Sales_Entry!G:G),0)</f>
        <v>566</v>
      </c>
      <c r="E10" s="3">
        <v>46130</v>
      </c>
      <c r="F10" s="2">
        <f ca="1">IFERROR(Medicine_Master!H9-TODAY(),"")</f>
        <v>43</v>
      </c>
      <c r="G10" s="2" t="str">
        <f ca="1">IFERROR(IF(Medicine_Master!H9&lt;TODAY(),"EXPIRED",IF(Medicine_Master!H9-TODAY()&lt;30,"URGENT",IF(Medicine_Master!H9-TODAY()&lt;60,"WARNING","OK"))),"OK")</f>
        <v>WARNING</v>
      </c>
      <c r="H10" s="4">
        <v>5</v>
      </c>
      <c r="I10" s="29">
        <f>IFERROR(D10*H10,0)</f>
        <v>2830</v>
      </c>
    </row>
    <row r="11" spans="1:9" ht="19.5" customHeight="1">
      <c r="A11" s="15" t="s">
        <v>117</v>
      </c>
      <c r="B11" s="8" t="s">
        <v>118</v>
      </c>
      <c r="C11" s="5" t="s">
        <v>115</v>
      </c>
      <c r="D11" s="5">
        <f>IFERROR(SUMIF(Purchase_Entry!C:C,A11,Purchase_Entry!F:F)-SUMIF(Sales_Entry!D:D,A11,Sales_Entry!G:G),0)</f>
        <v>433</v>
      </c>
      <c r="E11" s="6">
        <v>46063</v>
      </c>
      <c r="F11" s="5">
        <f ca="1">IFERROR(Medicine_Master!H10-TODAY(),"")</f>
        <v>-24</v>
      </c>
      <c r="G11" s="5" t="str">
        <f ca="1">IFERROR(IF(Medicine_Master!H10&lt;TODAY(),"EXPIRED",IF(Medicine_Master!H10-TODAY()&lt;30,"URGENT",IF(Medicine_Master!H10-TODAY()&lt;60,"WARNING","OK"))),"OK")</f>
        <v>EXPIRED</v>
      </c>
      <c r="H11" s="7">
        <v>13</v>
      </c>
      <c r="I11" s="28">
        <f>IFERROR(D11*H11,0)</f>
        <v>5629</v>
      </c>
    </row>
    <row r="12" spans="1:9" ht="19.5" customHeight="1">
      <c r="A12" s="16" t="s">
        <v>120</v>
      </c>
      <c r="B12" s="9" t="s">
        <v>121</v>
      </c>
      <c r="C12" s="2" t="s">
        <v>115</v>
      </c>
      <c r="D12" s="2">
        <f>IFERROR(SUMIF(Purchase_Entry!C:C,A12,Purchase_Entry!F:F)-SUMIF(Sales_Entry!D:D,A12,Sales_Entry!G:G),0)</f>
        <v>209</v>
      </c>
      <c r="E12" s="3">
        <v>46138</v>
      </c>
      <c r="F12" s="2">
        <f ca="1">IFERROR(Medicine_Master!H11-TODAY(),"")</f>
        <v>51</v>
      </c>
      <c r="G12" s="2" t="str">
        <f ca="1">IFERROR(IF(Medicine_Master!H11&lt;TODAY(),"EXPIRED",IF(Medicine_Master!H11-TODAY()&lt;30,"URGENT",IF(Medicine_Master!H11-TODAY()&lt;60,"WARNING","OK"))),"OK")</f>
        <v>WARNING</v>
      </c>
      <c r="H12" s="4">
        <v>20</v>
      </c>
      <c r="I12" s="29">
        <f>IFERROR(D12*H12,0)</f>
        <v>4180</v>
      </c>
    </row>
    <row r="13" spans="1:9" ht="19.5" customHeight="1">
      <c r="A13" s="15" t="s">
        <v>123</v>
      </c>
      <c r="B13" s="8" t="s">
        <v>124</v>
      </c>
      <c r="C13" s="5" t="s">
        <v>115</v>
      </c>
      <c r="D13" s="5">
        <f>IFERROR(SUMIF(Purchase_Entry!C:C,A13,Purchase_Entry!F:F)-SUMIF(Sales_Entry!D:D,A13,Sales_Entry!G:G),0)</f>
        <v>0</v>
      </c>
      <c r="E13" s="6">
        <v>46254</v>
      </c>
      <c r="F13" s="5">
        <f ca="1">IFERROR(Medicine_Master!H12-TODAY(),"")</f>
        <v>167</v>
      </c>
      <c r="G13" s="5" t="str">
        <f ca="1">IFERROR(IF(Medicine_Master!H12&lt;TODAY(),"EXPIRED",IF(Medicine_Master!H12-TODAY()&lt;30,"URGENT",IF(Medicine_Master!H12-TODAY()&lt;60,"WARNING","OK"))),"OK")</f>
        <v>OK</v>
      </c>
      <c r="H13" s="7">
        <v>8</v>
      </c>
      <c r="I13" s="28">
        <f>IFERROR(D13*H13,0)</f>
        <v>0</v>
      </c>
    </row>
    <row r="14" spans="1:9" ht="19.5" customHeight="1">
      <c r="A14" s="16" t="s">
        <v>126</v>
      </c>
      <c r="B14" s="9" t="s">
        <v>127</v>
      </c>
      <c r="C14" s="2" t="s">
        <v>115</v>
      </c>
      <c r="D14" s="2">
        <f>IFERROR(SUMIF(Purchase_Entry!C:C,A14,Purchase_Entry!F:F)-SUMIF(Sales_Entry!D:D,A14,Sales_Entry!G:G),0)</f>
        <v>436</v>
      </c>
      <c r="E14" s="3">
        <v>46776</v>
      </c>
      <c r="F14" s="2">
        <f ca="1">IFERROR(Medicine_Master!H13-TODAY(),"")</f>
        <v>689</v>
      </c>
      <c r="G14" s="2" t="str">
        <f ca="1">IFERROR(IF(Medicine_Master!H13&lt;TODAY(),"EXPIRED",IF(Medicine_Master!H13-TODAY()&lt;30,"URGENT",IF(Medicine_Master!H13-TODAY()&lt;60,"WARNING","OK"))),"OK")</f>
        <v>OK</v>
      </c>
      <c r="H14" s="4">
        <v>46</v>
      </c>
      <c r="I14" s="29">
        <f>IFERROR(D14*H14,0)</f>
        <v>20056</v>
      </c>
    </row>
    <row r="15" spans="1:9" ht="19.5" customHeight="1">
      <c r="A15" s="15" t="s">
        <v>129</v>
      </c>
      <c r="B15" s="8" t="s">
        <v>130</v>
      </c>
      <c r="C15" s="5" t="s">
        <v>115</v>
      </c>
      <c r="D15" s="5">
        <f>IFERROR(SUMIF(Purchase_Entry!C:C,A15,Purchase_Entry!F:F)-SUMIF(Sales_Entry!D:D,A15,Sales_Entry!G:G),0)</f>
        <v>208</v>
      </c>
      <c r="E15" s="6">
        <v>46304</v>
      </c>
      <c r="F15" s="5">
        <f ca="1">IFERROR(Medicine_Master!H14-TODAY(),"")</f>
        <v>217</v>
      </c>
      <c r="G15" s="5" t="str">
        <f ca="1">IFERROR(IF(Medicine_Master!H14&lt;TODAY(),"EXPIRED",IF(Medicine_Master!H14-TODAY()&lt;30,"URGENT",IF(Medicine_Master!H14-TODAY()&lt;60,"WARNING","OK"))),"OK")</f>
        <v>OK</v>
      </c>
      <c r="H15" s="7">
        <v>26</v>
      </c>
      <c r="I15" s="28">
        <f>IFERROR(D15*H15,0)</f>
        <v>5408</v>
      </c>
    </row>
    <row r="16" spans="1:9" ht="19.5" customHeight="1">
      <c r="A16" s="16" t="s">
        <v>131</v>
      </c>
      <c r="B16" s="9" t="s">
        <v>132</v>
      </c>
      <c r="C16" s="2" t="s">
        <v>133</v>
      </c>
      <c r="D16" s="2">
        <f>IFERROR(SUMIF(Purchase_Entry!C:C,A16,Purchase_Entry!F:F)-SUMIF(Sales_Entry!D:D,A16,Sales_Entry!G:G),0)</f>
        <v>243</v>
      </c>
      <c r="E16" s="3">
        <v>46196</v>
      </c>
      <c r="F16" s="2">
        <f ca="1">IFERROR(Medicine_Master!H15-TODAY(),"")</f>
        <v>109</v>
      </c>
      <c r="G16" s="2" t="str">
        <f ca="1">IFERROR(IF(Medicine_Master!H15&lt;TODAY(),"EXPIRED",IF(Medicine_Master!H15-TODAY()&lt;30,"URGENT",IF(Medicine_Master!H15-TODAY()&lt;60,"WARNING","OK"))),"OK")</f>
        <v>OK</v>
      </c>
      <c r="H16" s="4">
        <v>31</v>
      </c>
      <c r="I16" s="29">
        <f>IFERROR(D16*H16,0)</f>
        <v>7533</v>
      </c>
    </row>
    <row r="17" spans="1:9" ht="19.5" customHeight="1">
      <c r="A17" s="15" t="s">
        <v>134</v>
      </c>
      <c r="B17" s="8" t="s">
        <v>135</v>
      </c>
      <c r="C17" s="5" t="s">
        <v>133</v>
      </c>
      <c r="D17" s="5">
        <f>IFERROR(SUMIF(Purchase_Entry!C:C,A17,Purchase_Entry!F:F)-SUMIF(Sales_Entry!D:D,A17,Sales_Entry!G:G),0)</f>
        <v>88</v>
      </c>
      <c r="E17" s="6">
        <v>46468</v>
      </c>
      <c r="F17" s="5">
        <f ca="1">IFERROR(Medicine_Master!H16-TODAY(),"")</f>
        <v>381</v>
      </c>
      <c r="G17" s="5" t="str">
        <f ca="1">IFERROR(IF(Medicine_Master!H16&lt;TODAY(),"EXPIRED",IF(Medicine_Master!H16-TODAY()&lt;30,"URGENT",IF(Medicine_Master!H16-TODAY()&lt;60,"WARNING","OK"))),"OK")</f>
        <v>OK</v>
      </c>
      <c r="H17" s="7">
        <v>41</v>
      </c>
      <c r="I17" s="28">
        <f>IFERROR(D17*H17,0)</f>
        <v>3608</v>
      </c>
    </row>
    <row r="18" spans="1:9" ht="19.5" customHeight="1">
      <c r="A18" s="16" t="s">
        <v>136</v>
      </c>
      <c r="B18" s="9" t="s">
        <v>37</v>
      </c>
      <c r="C18" s="2" t="s">
        <v>133</v>
      </c>
      <c r="D18" s="2">
        <f>IFERROR(SUMIF(Purchase_Entry!C:C,A18,Purchase_Entry!F:F)-SUMIF(Sales_Entry!D:D,A18,Sales_Entry!G:G),0)</f>
        <v>240</v>
      </c>
      <c r="E18" s="3">
        <v>46117</v>
      </c>
      <c r="F18" s="2">
        <f ca="1">IFERROR(Medicine_Master!H17-TODAY(),"")</f>
        <v>30</v>
      </c>
      <c r="G18" s="2" t="str">
        <f ca="1">IFERROR(IF(Medicine_Master!H17&lt;TODAY(),"EXPIRED",IF(Medicine_Master!H17-TODAY()&lt;30,"URGENT",IF(Medicine_Master!H17-TODAY()&lt;60,"WARNING","OK"))),"OK")</f>
        <v>WARNING</v>
      </c>
      <c r="H18" s="4">
        <v>18</v>
      </c>
      <c r="I18" s="29">
        <f>IFERROR(D18*H18,0)</f>
        <v>4320</v>
      </c>
    </row>
    <row r="19" spans="1:9" ht="19.5" customHeight="1">
      <c r="A19" s="15" t="s">
        <v>137</v>
      </c>
      <c r="B19" s="8" t="s">
        <v>138</v>
      </c>
      <c r="C19" s="5" t="s">
        <v>133</v>
      </c>
      <c r="D19" s="5">
        <f>IFERROR(SUMIF(Purchase_Entry!C:C,A19,Purchase_Entry!F:F)-SUMIF(Sales_Entry!D:D,A19,Sales_Entry!G:G),0)</f>
        <v>386</v>
      </c>
      <c r="E19" s="6">
        <v>46542</v>
      </c>
      <c r="F19" s="5">
        <f ca="1">IFERROR(Medicine_Master!H18-TODAY(),"")</f>
        <v>455</v>
      </c>
      <c r="G19" s="5" t="str">
        <f ca="1">IFERROR(IF(Medicine_Master!H18&lt;TODAY(),"EXPIRED",IF(Medicine_Master!H18-TODAY()&lt;30,"URGENT",IF(Medicine_Master!H18-TODAY()&lt;60,"WARNING","OK"))),"OK")</f>
        <v>OK</v>
      </c>
      <c r="H19" s="7">
        <v>21</v>
      </c>
      <c r="I19" s="28">
        <f>IFERROR(D19*H19,0)</f>
        <v>8106</v>
      </c>
    </row>
    <row r="20" spans="1:9" ht="19.5" customHeight="1">
      <c r="A20" s="16" t="s">
        <v>139</v>
      </c>
      <c r="B20" s="9" t="s">
        <v>140</v>
      </c>
      <c r="C20" s="2" t="s">
        <v>133</v>
      </c>
      <c r="D20" s="2">
        <f>IFERROR(SUMIF(Purchase_Entry!C:C,A20,Purchase_Entry!F:F)-SUMIF(Sales_Entry!D:D,A20,Sales_Entry!G:G),0)</f>
        <v>0</v>
      </c>
      <c r="E20" s="3">
        <v>46076</v>
      </c>
      <c r="F20" s="2">
        <f ca="1">IFERROR(Medicine_Master!H19-TODAY(),"")</f>
        <v>-11</v>
      </c>
      <c r="G20" s="2" t="str">
        <f ca="1">IFERROR(IF(Medicine_Master!H19&lt;TODAY(),"EXPIRED",IF(Medicine_Master!H19-TODAY()&lt;30,"URGENT",IF(Medicine_Master!H19-TODAY()&lt;60,"WARNING","OK"))),"OK")</f>
        <v>EXPIRED</v>
      </c>
      <c r="H20" s="4">
        <v>46</v>
      </c>
      <c r="I20" s="29">
        <f>IFERROR(D20*H20,0)</f>
        <v>0</v>
      </c>
    </row>
    <row r="21" spans="1:9" ht="19.5" customHeight="1">
      <c r="A21" s="15" t="s">
        <v>142</v>
      </c>
      <c r="B21" s="8" t="s">
        <v>143</v>
      </c>
      <c r="C21" s="5" t="s">
        <v>133</v>
      </c>
      <c r="D21" s="5">
        <f>IFERROR(SUMIF(Purchase_Entry!C:C,A21,Purchase_Entry!F:F)-SUMIF(Sales_Entry!D:D,A21,Sales_Entry!G:G),0)</f>
        <v>193</v>
      </c>
      <c r="E21" s="6">
        <v>46582</v>
      </c>
      <c r="F21" s="5">
        <f ca="1">IFERROR(Medicine_Master!H20-TODAY(),"")</f>
        <v>495</v>
      </c>
      <c r="G21" s="5" t="str">
        <f ca="1">IFERROR(IF(Medicine_Master!H20&lt;TODAY(),"EXPIRED",IF(Medicine_Master!H20-TODAY()&lt;30,"URGENT",IF(Medicine_Master!H20-TODAY()&lt;60,"WARNING","OK"))),"OK")</f>
        <v>OK</v>
      </c>
      <c r="H21" s="7">
        <v>58</v>
      </c>
      <c r="I21" s="28">
        <f>IFERROR(D21*H21,0)</f>
        <v>11194</v>
      </c>
    </row>
    <row r="22" spans="1:9" ht="19.5" customHeight="1">
      <c r="A22" s="16" t="s">
        <v>144</v>
      </c>
      <c r="B22" s="9" t="s">
        <v>38</v>
      </c>
      <c r="C22" s="2" t="s">
        <v>145</v>
      </c>
      <c r="D22" s="2">
        <f>IFERROR(SUMIF(Purchase_Entry!C:C,A22,Purchase_Entry!F:F)-SUMIF(Sales_Entry!D:D,A22,Sales_Entry!G:G),0)</f>
        <v>432</v>
      </c>
      <c r="E22" s="3">
        <v>46060</v>
      </c>
      <c r="F22" s="2">
        <f ca="1">IFERROR(Medicine_Master!H21-TODAY(),"")</f>
        <v>-27</v>
      </c>
      <c r="G22" s="2" t="str">
        <f ca="1">IFERROR(IF(Medicine_Master!H21&lt;TODAY(),"EXPIRED",IF(Medicine_Master!H21-TODAY()&lt;30,"URGENT",IF(Medicine_Master!H21-TODAY()&lt;60,"WARNING","OK"))),"OK")</f>
        <v>EXPIRED</v>
      </c>
      <c r="H22" s="4">
        <v>16</v>
      </c>
      <c r="I22" s="29">
        <f>IFERROR(D22*H22,0)</f>
        <v>6912</v>
      </c>
    </row>
    <row r="23" spans="1:9" ht="19.5" customHeight="1">
      <c r="A23" s="15" t="s">
        <v>146</v>
      </c>
      <c r="B23" s="8" t="s">
        <v>147</v>
      </c>
      <c r="C23" s="5" t="s">
        <v>145</v>
      </c>
      <c r="D23" s="5">
        <f>IFERROR(SUMIF(Purchase_Entry!C:C,A23,Purchase_Entry!F:F)-SUMIF(Sales_Entry!D:D,A23,Sales_Entry!G:G),0)</f>
        <v>1317</v>
      </c>
      <c r="E23" s="6">
        <v>46691</v>
      </c>
      <c r="F23" s="5">
        <f ca="1">IFERROR(Medicine_Master!H22-TODAY(),"")</f>
        <v>604</v>
      </c>
      <c r="G23" s="5" t="str">
        <f ca="1">IFERROR(IF(Medicine_Master!H22&lt;TODAY(),"EXPIRED",IF(Medicine_Master!H22-TODAY()&lt;30,"URGENT",IF(Medicine_Master!H22-TODAY()&lt;60,"WARNING","OK"))),"OK")</f>
        <v>OK</v>
      </c>
      <c r="H23" s="7">
        <v>31</v>
      </c>
      <c r="I23" s="28">
        <f>IFERROR(D23*H23,0)</f>
        <v>40827</v>
      </c>
    </row>
    <row r="24" spans="1:9" ht="19.5" customHeight="1">
      <c r="A24" s="16" t="s">
        <v>148</v>
      </c>
      <c r="B24" s="9" t="s">
        <v>149</v>
      </c>
      <c r="C24" s="2" t="s">
        <v>145</v>
      </c>
      <c r="D24" s="2">
        <f>IFERROR(SUMIF(Purchase_Entry!C:C,A24,Purchase_Entry!F:F)-SUMIF(Sales_Entry!D:D,A24,Sales_Entry!G:G),0)</f>
        <v>179</v>
      </c>
      <c r="E24" s="3">
        <v>46132</v>
      </c>
      <c r="F24" s="2">
        <f ca="1">IFERROR(Medicine_Master!H23-TODAY(),"")</f>
        <v>45</v>
      </c>
      <c r="G24" s="2" t="str">
        <f ca="1">IFERROR(IF(Medicine_Master!H23&lt;TODAY(),"EXPIRED",IF(Medicine_Master!H23-TODAY()&lt;30,"URGENT",IF(Medicine_Master!H23-TODAY()&lt;60,"WARNING","OK"))),"OK")</f>
        <v>WARNING</v>
      </c>
      <c r="H24" s="4">
        <v>21</v>
      </c>
      <c r="I24" s="29">
        <f>IFERROR(D24*H24,0)</f>
        <v>3759</v>
      </c>
    </row>
    <row r="25" spans="1:9" ht="19.5" customHeight="1">
      <c r="A25" s="15" t="s">
        <v>150</v>
      </c>
      <c r="B25" s="8" t="s">
        <v>151</v>
      </c>
      <c r="C25" s="5" t="s">
        <v>145</v>
      </c>
      <c r="D25" s="5">
        <f>IFERROR(SUMIF(Purchase_Entry!C:C,A25,Purchase_Entry!F:F)-SUMIF(Sales_Entry!D:D,A25,Sales_Entry!G:G),0)</f>
        <v>347</v>
      </c>
      <c r="E25" s="6">
        <v>46188</v>
      </c>
      <c r="F25" s="5">
        <f ca="1">IFERROR(Medicine_Master!H24-TODAY(),"")</f>
        <v>101</v>
      </c>
      <c r="G25" s="5" t="str">
        <f ca="1">IFERROR(IF(Medicine_Master!H24&lt;TODAY(),"EXPIRED",IF(Medicine_Master!H24-TODAY()&lt;30,"URGENT",IF(Medicine_Master!H24-TODAY()&lt;60,"WARNING","OK"))),"OK")</f>
        <v>OK</v>
      </c>
      <c r="H25" s="7">
        <v>8</v>
      </c>
      <c r="I25" s="28">
        <f>IFERROR(D25*H25,0)</f>
        <v>2776</v>
      </c>
    </row>
    <row r="26" spans="1:9" ht="19.5" customHeight="1">
      <c r="A26" s="16" t="s">
        <v>152</v>
      </c>
      <c r="B26" s="9" t="s">
        <v>153</v>
      </c>
      <c r="C26" s="2" t="s">
        <v>145</v>
      </c>
      <c r="D26" s="2">
        <f>IFERROR(SUMIF(Purchase_Entry!C:C,A26,Purchase_Entry!F:F)-SUMIF(Sales_Entry!D:D,A26,Sales_Entry!G:G),0)</f>
        <v>373</v>
      </c>
      <c r="E26" s="3">
        <v>46772</v>
      </c>
      <c r="F26" s="2">
        <f ca="1">IFERROR(Medicine_Master!H25-TODAY(),"")</f>
        <v>685</v>
      </c>
      <c r="G26" s="2" t="str">
        <f ca="1">IFERROR(IF(Medicine_Master!H25&lt;TODAY(),"EXPIRED",IF(Medicine_Master!H25-TODAY()&lt;30,"URGENT",IF(Medicine_Master!H25-TODAY()&lt;60,"WARNING","OK"))),"OK")</f>
        <v>OK</v>
      </c>
      <c r="H26" s="4">
        <v>13</v>
      </c>
      <c r="I26" s="29">
        <f>IFERROR(D26*H26,0)</f>
        <v>4849</v>
      </c>
    </row>
    <row r="27" spans="1:9" ht="19.5" customHeight="1">
      <c r="A27" s="15" t="s">
        <v>154</v>
      </c>
      <c r="B27" s="8" t="s">
        <v>155</v>
      </c>
      <c r="C27" s="5" t="s">
        <v>145</v>
      </c>
      <c r="D27" s="5">
        <f>IFERROR(SUMIF(Purchase_Entry!C:C,A27,Purchase_Entry!F:F)-SUMIF(Sales_Entry!D:D,A27,Sales_Entry!G:G),0)</f>
        <v>94</v>
      </c>
      <c r="E27" s="6">
        <v>46469</v>
      </c>
      <c r="F27" s="5">
        <f ca="1">IFERROR(Medicine_Master!H26-TODAY(),"")</f>
        <v>382</v>
      </c>
      <c r="G27" s="5" t="str">
        <f ca="1">IFERROR(IF(Medicine_Master!H26&lt;TODAY(),"EXPIRED",IF(Medicine_Master!H26-TODAY()&lt;30,"URGENT",IF(Medicine_Master!H26-TODAY()&lt;60,"WARNING","OK"))),"OK")</f>
        <v>OK</v>
      </c>
      <c r="H27" s="7">
        <v>41</v>
      </c>
      <c r="I27" s="28">
        <f>IFERROR(D27*H27,0)</f>
        <v>3854</v>
      </c>
    </row>
    <row r="28" spans="1:9" ht="19.5" customHeight="1">
      <c r="A28" s="16" t="s">
        <v>156</v>
      </c>
      <c r="B28" s="9" t="s">
        <v>157</v>
      </c>
      <c r="C28" s="2" t="s">
        <v>145</v>
      </c>
      <c r="D28" s="2">
        <f>IFERROR(SUMIF(Purchase_Entry!C:C,A28,Purchase_Entry!F:F)-SUMIF(Sales_Entry!D:D,A28,Sales_Entry!G:G),0)</f>
        <v>0</v>
      </c>
      <c r="E28" s="3">
        <v>46366</v>
      </c>
      <c r="F28" s="2">
        <f ca="1">IFERROR(Medicine_Master!H27-TODAY(),"")</f>
        <v>279</v>
      </c>
      <c r="G28" s="2" t="str">
        <f ca="1">IFERROR(IF(Medicine_Master!H27&lt;TODAY(),"EXPIRED",IF(Medicine_Master!H27-TODAY()&lt;30,"URGENT",IF(Medicine_Master!H27-TODAY()&lt;60,"WARNING","OK"))),"OK")</f>
        <v>OK</v>
      </c>
      <c r="H28" s="4">
        <v>36</v>
      </c>
      <c r="I28" s="29">
        <f>IFERROR(D28*H28,0)</f>
        <v>0</v>
      </c>
    </row>
    <row r="29" spans="1:9" ht="19.5" customHeight="1">
      <c r="A29" s="15" t="s">
        <v>158</v>
      </c>
      <c r="B29" s="8" t="s">
        <v>159</v>
      </c>
      <c r="C29" s="5" t="s">
        <v>160</v>
      </c>
      <c r="D29" s="5">
        <f>IFERROR(SUMIF(Purchase_Entry!C:C,A29,Purchase_Entry!F:F)-SUMIF(Sales_Entry!D:D,A29,Sales_Entry!G:G),0)</f>
        <v>205</v>
      </c>
      <c r="E29" s="6">
        <v>46479</v>
      </c>
      <c r="F29" s="5">
        <f ca="1">IFERROR(Medicine_Master!H28-TODAY(),"")</f>
        <v>392</v>
      </c>
      <c r="G29" s="5" t="str">
        <f ca="1">IFERROR(IF(Medicine_Master!H28&lt;TODAY(),"EXPIRED",IF(Medicine_Master!H28-TODAY()&lt;30,"URGENT",IF(Medicine_Master!H28-TODAY()&lt;60,"WARNING","OK"))),"OK")</f>
        <v>OK</v>
      </c>
      <c r="H29" s="7">
        <v>13</v>
      </c>
      <c r="I29" s="28">
        <f>IFERROR(D29*H29,0)</f>
        <v>2665</v>
      </c>
    </row>
    <row r="30" spans="1:9" ht="19.5" customHeight="1">
      <c r="A30" s="16" t="s">
        <v>161</v>
      </c>
      <c r="B30" s="9" t="s">
        <v>162</v>
      </c>
      <c r="C30" s="2" t="s">
        <v>160</v>
      </c>
      <c r="D30" s="2">
        <f>IFERROR(SUMIF(Purchase_Entry!C:C,A30,Purchase_Entry!F:F)-SUMIF(Sales_Entry!D:D,A30,Sales_Entry!G:G),0)</f>
        <v>708</v>
      </c>
      <c r="E30" s="3">
        <v>46130</v>
      </c>
      <c r="F30" s="2">
        <f ca="1">IFERROR(Medicine_Master!H29-TODAY(),"")</f>
        <v>43</v>
      </c>
      <c r="G30" s="2" t="str">
        <f ca="1">IFERROR(IF(Medicine_Master!H29&lt;TODAY(),"EXPIRED",IF(Medicine_Master!H29-TODAY()&lt;30,"URGENT",IF(Medicine_Master!H29-TODAY()&lt;60,"WARNING","OK"))),"OK")</f>
        <v>WARNING</v>
      </c>
      <c r="H30" s="4">
        <v>21</v>
      </c>
      <c r="I30" s="29">
        <f>IFERROR(D30*H30,0)</f>
        <v>14868</v>
      </c>
    </row>
    <row r="31" spans="1:9" ht="19.5" customHeight="1">
      <c r="A31" s="15" t="s">
        <v>163</v>
      </c>
      <c r="B31" s="8" t="s">
        <v>164</v>
      </c>
      <c r="C31" s="5" t="s">
        <v>160</v>
      </c>
      <c r="D31" s="5">
        <f>IFERROR(SUMIF(Purchase_Entry!C:C,A31,Purchase_Entry!F:F)-SUMIF(Sales_Entry!D:D,A31,Sales_Entry!G:G),0)</f>
        <v>0</v>
      </c>
      <c r="E31" s="6">
        <v>46440</v>
      </c>
      <c r="F31" s="5">
        <f ca="1">IFERROR(Medicine_Master!H30-TODAY(),"")</f>
        <v>353</v>
      </c>
      <c r="G31" s="5" t="str">
        <f ca="1">IFERROR(IF(Medicine_Master!H30&lt;TODAY(),"EXPIRED",IF(Medicine_Master!H30-TODAY()&lt;30,"URGENT",IF(Medicine_Master!H30-TODAY()&lt;60,"WARNING","OK"))),"OK")</f>
        <v>OK</v>
      </c>
      <c r="H31" s="7">
        <v>10</v>
      </c>
      <c r="I31" s="28">
        <f>IFERROR(D31*H31,0)</f>
        <v>0</v>
      </c>
    </row>
    <row r="32" spans="1:9" ht="19.5" customHeight="1">
      <c r="A32" s="16" t="s">
        <v>165</v>
      </c>
      <c r="B32" s="9" t="s">
        <v>166</v>
      </c>
      <c r="C32" s="2" t="s">
        <v>160</v>
      </c>
      <c r="D32" s="2">
        <f>IFERROR(SUMIF(Purchase_Entry!C:C,A32,Purchase_Entry!F:F)-SUMIF(Sales_Entry!D:D,A32,Sales_Entry!G:G),0)</f>
        <v>278</v>
      </c>
      <c r="E32" s="3">
        <v>46529</v>
      </c>
      <c r="F32" s="2">
        <f ca="1">IFERROR(Medicine_Master!H31-TODAY(),"")</f>
        <v>442</v>
      </c>
      <c r="G32" s="2" t="str">
        <f ca="1">IFERROR(IF(Medicine_Master!H31&lt;TODAY(),"EXPIRED",IF(Medicine_Master!H31-TODAY()&lt;30,"URGENT",IF(Medicine_Master!H31-TODAY()&lt;60,"WARNING","OK"))),"OK")</f>
        <v>OK</v>
      </c>
      <c r="H32" s="4">
        <v>140</v>
      </c>
      <c r="I32" s="29">
        <f>IFERROR(D32*H32,0)</f>
        <v>38920</v>
      </c>
    </row>
    <row r="33" spans="1:9" ht="19.5" customHeight="1">
      <c r="A33" s="15" t="s">
        <v>167</v>
      </c>
      <c r="B33" s="8" t="s">
        <v>168</v>
      </c>
      <c r="C33" s="5" t="s">
        <v>160</v>
      </c>
      <c r="D33" s="5">
        <f>IFERROR(SUMIF(Purchase_Entry!C:C,A33,Purchase_Entry!F:F)-SUMIF(Sales_Entry!D:D,A33,Sales_Entry!G:G),0)</f>
        <v>985</v>
      </c>
      <c r="E33" s="6">
        <v>46140</v>
      </c>
      <c r="F33" s="5">
        <f ca="1">IFERROR(Medicine_Master!H32-TODAY(),"")</f>
        <v>53</v>
      </c>
      <c r="G33" s="5" t="str">
        <f ca="1">IFERROR(IF(Medicine_Master!H32&lt;TODAY(),"EXPIRED",IF(Medicine_Master!H32-TODAY()&lt;30,"URGENT",IF(Medicine_Master!H32-TODAY()&lt;60,"WARNING","OK"))),"OK")</f>
        <v>WARNING</v>
      </c>
      <c r="H33" s="7">
        <v>31</v>
      </c>
      <c r="I33" s="28">
        <f>IFERROR(D33*H33,0)</f>
        <v>30535</v>
      </c>
    </row>
    <row r="34" spans="1:9" ht="19.5" customHeight="1">
      <c r="A34" s="16" t="s">
        <v>169</v>
      </c>
      <c r="B34" s="9" t="s">
        <v>170</v>
      </c>
      <c r="C34" s="2" t="s">
        <v>160</v>
      </c>
      <c r="D34" s="2">
        <f>IFERROR(SUMIF(Purchase_Entry!C:C,A34,Purchase_Entry!F:F)-SUMIF(Sales_Entry!D:D,A34,Sales_Entry!G:G),0)</f>
        <v>790</v>
      </c>
      <c r="E34" s="3">
        <v>46600</v>
      </c>
      <c r="F34" s="2">
        <f ca="1">IFERROR(Medicine_Master!H33-TODAY(),"")</f>
        <v>513</v>
      </c>
      <c r="G34" s="2" t="str">
        <f ca="1">IFERROR(IF(Medicine_Master!H33&lt;TODAY(),"EXPIRED",IF(Medicine_Master!H33-TODAY()&lt;30,"URGENT",IF(Medicine_Master!H33-TODAY()&lt;60,"WARNING","OK"))),"OK")</f>
        <v>OK</v>
      </c>
      <c r="H34" s="4">
        <v>420</v>
      </c>
      <c r="I34" s="29">
        <f>IFERROR(D34*H34,0)</f>
        <v>331800</v>
      </c>
    </row>
    <row r="35" spans="1:9" ht="19.5" customHeight="1">
      <c r="A35" s="15" t="s">
        <v>172</v>
      </c>
      <c r="B35" s="8" t="s">
        <v>173</v>
      </c>
      <c r="C35" s="5" t="s">
        <v>174</v>
      </c>
      <c r="D35" s="5">
        <f>IFERROR(SUMIF(Purchase_Entry!C:C,A35,Purchase_Entry!F:F)-SUMIF(Sales_Entry!D:D,A35,Sales_Entry!G:G),0)</f>
        <v>0</v>
      </c>
      <c r="E35" s="6">
        <v>46123</v>
      </c>
      <c r="F35" s="5">
        <f ca="1">IFERROR(Medicine_Master!H34-TODAY(),"")</f>
        <v>36</v>
      </c>
      <c r="G35" s="5" t="str">
        <f ca="1">IFERROR(IF(Medicine_Master!H34&lt;TODAY(),"EXPIRED",IF(Medicine_Master!H34-TODAY()&lt;30,"URGENT",IF(Medicine_Master!H34-TODAY()&lt;60,"WARNING","OK"))),"OK")</f>
        <v>WARNING</v>
      </c>
      <c r="H35" s="7">
        <v>18</v>
      </c>
      <c r="I35" s="28">
        <f>IFERROR(D35*H35,0)</f>
        <v>0</v>
      </c>
    </row>
    <row r="36" spans="1:9" ht="19.5" customHeight="1">
      <c r="A36" s="16" t="s">
        <v>175</v>
      </c>
      <c r="B36" s="9" t="s">
        <v>176</v>
      </c>
      <c r="C36" s="2" t="s">
        <v>174</v>
      </c>
      <c r="D36" s="2">
        <f>IFERROR(SUMIF(Purchase_Entry!C:C,A36,Purchase_Entry!F:F)-SUMIF(Sales_Entry!D:D,A36,Sales_Entry!G:G),0)</f>
        <v>348</v>
      </c>
      <c r="E36" s="3">
        <v>46121</v>
      </c>
      <c r="F36" s="2">
        <f ca="1">IFERROR(Medicine_Master!H35-TODAY(),"")</f>
        <v>34</v>
      </c>
      <c r="G36" s="2" t="str">
        <f ca="1">IFERROR(IF(Medicine_Master!H35&lt;TODAY(),"EXPIRED",IF(Medicine_Master!H35-TODAY()&lt;30,"URGENT",IF(Medicine_Master!H35-TODAY()&lt;60,"WARNING","OK"))),"OK")</f>
        <v>WARNING</v>
      </c>
      <c r="H36" s="4">
        <v>12</v>
      </c>
      <c r="I36" s="29">
        <f>IFERROR(D36*H36,0)</f>
        <v>4176</v>
      </c>
    </row>
    <row r="37" spans="1:9" ht="19.5" customHeight="1">
      <c r="A37" s="15" t="s">
        <v>177</v>
      </c>
      <c r="B37" s="8" t="s">
        <v>178</v>
      </c>
      <c r="C37" s="5" t="s">
        <v>174</v>
      </c>
      <c r="D37" s="5">
        <f>IFERROR(SUMIF(Purchase_Entry!C:C,A37,Purchase_Entry!F:F)-SUMIF(Sales_Entry!D:D,A37,Sales_Entry!G:G),0)</f>
        <v>0</v>
      </c>
      <c r="E37" s="6">
        <v>46648</v>
      </c>
      <c r="F37" s="5">
        <f ca="1">IFERROR(Medicine_Master!H36-TODAY(),"")</f>
        <v>561</v>
      </c>
      <c r="G37" s="5" t="str">
        <f ca="1">IFERROR(IF(Medicine_Master!H36&lt;TODAY(),"EXPIRED",IF(Medicine_Master!H36-TODAY()&lt;30,"URGENT",IF(Medicine_Master!H36-TODAY()&lt;60,"WARNING","OK"))),"OK")</f>
        <v>OK</v>
      </c>
      <c r="H37" s="7">
        <v>21</v>
      </c>
      <c r="I37" s="28">
        <f>IFERROR(D37*H37,0)</f>
        <v>0</v>
      </c>
    </row>
    <row r="38" spans="1:9" ht="19.5" customHeight="1">
      <c r="A38" s="16" t="s">
        <v>179</v>
      </c>
      <c r="B38" s="9" t="s">
        <v>180</v>
      </c>
      <c r="C38" s="2" t="s">
        <v>174</v>
      </c>
      <c r="D38" s="2">
        <f>IFERROR(SUMIF(Purchase_Entry!C:C,A38,Purchase_Entry!F:F)-SUMIF(Sales_Entry!D:D,A38,Sales_Entry!G:G),0)</f>
        <v>72</v>
      </c>
      <c r="E38" s="3">
        <v>46130</v>
      </c>
      <c r="F38" s="2">
        <f ca="1">IFERROR(Medicine_Master!H37-TODAY(),"")</f>
        <v>43</v>
      </c>
      <c r="G38" s="2" t="str">
        <f ca="1">IFERROR(IF(Medicine_Master!H37&lt;TODAY(),"EXPIRED",IF(Medicine_Master!H37-TODAY()&lt;30,"URGENT",IF(Medicine_Master!H37-TODAY()&lt;60,"WARNING","OK"))),"OK")</f>
        <v>WARNING</v>
      </c>
      <c r="H38" s="4">
        <v>26</v>
      </c>
      <c r="I38" s="29">
        <f>IFERROR(D38*H38,0)</f>
        <v>1872</v>
      </c>
    </row>
    <row r="39" spans="1:9" ht="19.5" customHeight="1">
      <c r="A39" s="15" t="s">
        <v>181</v>
      </c>
      <c r="B39" s="8" t="s">
        <v>182</v>
      </c>
      <c r="C39" s="5" t="s">
        <v>174</v>
      </c>
      <c r="D39" s="5">
        <f>IFERROR(SUMIF(Purchase_Entry!C:C,A39,Purchase_Entry!F:F)-SUMIF(Sales_Entry!D:D,A39,Sales_Entry!G:G),0)</f>
        <v>397</v>
      </c>
      <c r="E39" s="6">
        <v>46143</v>
      </c>
      <c r="F39" s="5">
        <f ca="1">IFERROR(Medicine_Master!H38-TODAY(),"")</f>
        <v>56</v>
      </c>
      <c r="G39" s="5" t="str">
        <f ca="1">IFERROR(IF(Medicine_Master!H38&lt;TODAY(),"EXPIRED",IF(Medicine_Master!H38-TODAY()&lt;30,"URGENT",IF(Medicine_Master!H38-TODAY()&lt;60,"WARNING","OK"))),"OK")</f>
        <v>WARNING</v>
      </c>
      <c r="H39" s="7">
        <v>41</v>
      </c>
      <c r="I39" s="28">
        <f>IFERROR(D39*H39,0)</f>
        <v>16277</v>
      </c>
    </row>
    <row r="40" spans="1:9" ht="19.5" customHeight="1">
      <c r="A40" s="16" t="s">
        <v>183</v>
      </c>
      <c r="B40" s="9" t="s">
        <v>184</v>
      </c>
      <c r="C40" s="2" t="s">
        <v>174</v>
      </c>
      <c r="D40" s="2">
        <f>IFERROR(SUMIF(Purchase_Entry!C:C,A40,Purchase_Entry!F:F)-SUMIF(Sales_Entry!D:D,A40,Sales_Entry!G:G),0)</f>
        <v>0</v>
      </c>
      <c r="E40" s="3">
        <v>46658</v>
      </c>
      <c r="F40" s="2">
        <f ca="1">IFERROR(Medicine_Master!H39-TODAY(),"")</f>
        <v>571</v>
      </c>
      <c r="G40" s="2" t="str">
        <f ca="1">IFERROR(IF(Medicine_Master!H39&lt;TODAY(),"EXPIRED",IF(Medicine_Master!H39-TODAY()&lt;30,"URGENT",IF(Medicine_Master!H39-TODAY()&lt;60,"WARNING","OK"))),"OK")</f>
        <v>OK</v>
      </c>
      <c r="H40" s="4">
        <v>31</v>
      </c>
      <c r="I40" s="29">
        <f>IFERROR(D40*H40,0)</f>
        <v>0</v>
      </c>
    </row>
    <row r="41" spans="1:9" ht="19.5" customHeight="1">
      <c r="A41" s="15" t="s">
        <v>185</v>
      </c>
      <c r="B41" s="8" t="s">
        <v>186</v>
      </c>
      <c r="C41" s="5" t="s">
        <v>187</v>
      </c>
      <c r="D41" s="5">
        <f>IFERROR(SUMIF(Purchase_Entry!C:C,A41,Purchase_Entry!F:F)-SUMIF(Sales_Entry!D:D,A41,Sales_Entry!G:G),0)</f>
        <v>0</v>
      </c>
      <c r="E41" s="6">
        <v>46795</v>
      </c>
      <c r="F41" s="5">
        <f ca="1">IFERROR(Medicine_Master!H40-TODAY(),"")</f>
        <v>708</v>
      </c>
      <c r="G41" s="5" t="str">
        <f ca="1">IFERROR(IF(Medicine_Master!H40&lt;TODAY(),"EXPIRED",IF(Medicine_Master!H40-TODAY()&lt;30,"URGENT",IF(Medicine_Master!H40-TODAY()&lt;60,"WARNING","OK"))),"OK")</f>
        <v>OK</v>
      </c>
      <c r="H41" s="7">
        <v>10</v>
      </c>
      <c r="I41" s="28">
        <f>IFERROR(D41*H41,0)</f>
        <v>0</v>
      </c>
    </row>
    <row r="42" spans="1:9" ht="19.5" customHeight="1">
      <c r="A42" s="16" t="s">
        <v>188</v>
      </c>
      <c r="B42" s="9" t="s">
        <v>189</v>
      </c>
      <c r="C42" s="2" t="s">
        <v>187</v>
      </c>
      <c r="D42" s="2">
        <f>IFERROR(SUMIF(Purchase_Entry!C:C,A42,Purchase_Entry!F:F)-SUMIF(Sales_Entry!D:D,A42,Sales_Entry!G:G),0)</f>
        <v>195</v>
      </c>
      <c r="E42" s="3">
        <v>46748</v>
      </c>
      <c r="F42" s="2">
        <f ca="1">IFERROR(Medicine_Master!H41-TODAY(),"")</f>
        <v>661</v>
      </c>
      <c r="G42" s="2" t="str">
        <f ca="1">IFERROR(IF(Medicine_Master!H41&lt;TODAY(),"EXPIRED",IF(Medicine_Master!H41-TODAY()&lt;30,"URGENT",IF(Medicine_Master!H41-TODAY()&lt;60,"WARNING","OK"))),"OK")</f>
        <v>OK</v>
      </c>
      <c r="H42" s="4">
        <v>13</v>
      </c>
      <c r="I42" s="29">
        <f>IFERROR(D42*H42,0)</f>
        <v>2535</v>
      </c>
    </row>
    <row r="43" spans="1:9" ht="19.5" customHeight="1">
      <c r="A43" s="15" t="s">
        <v>190</v>
      </c>
      <c r="B43" s="8" t="s">
        <v>191</v>
      </c>
      <c r="C43" s="5" t="s">
        <v>187</v>
      </c>
      <c r="D43" s="5">
        <f>IFERROR(SUMIF(Purchase_Entry!C:C,A43,Purchase_Entry!F:F)-SUMIF(Sales_Entry!D:D,A43,Sales_Entry!G:G),0)</f>
        <v>0</v>
      </c>
      <c r="E43" s="6">
        <v>46126</v>
      </c>
      <c r="F43" s="5">
        <f ca="1">IFERROR(Medicine_Master!H42-TODAY(),"")</f>
        <v>39</v>
      </c>
      <c r="G43" s="5" t="str">
        <f ca="1">IFERROR(IF(Medicine_Master!H42&lt;TODAY(),"EXPIRED",IF(Medicine_Master!H42-TODAY()&lt;30,"URGENT",IF(Medicine_Master!H42-TODAY()&lt;60,"WARNING","OK"))),"OK")</f>
        <v>WARNING</v>
      </c>
      <c r="H43" s="7">
        <v>31</v>
      </c>
      <c r="I43" s="28">
        <f>IFERROR(D43*H43,0)</f>
        <v>0</v>
      </c>
    </row>
    <row r="44" spans="1:9" ht="19.5" customHeight="1">
      <c r="A44" s="16" t="s">
        <v>192</v>
      </c>
      <c r="B44" s="9" t="s">
        <v>193</v>
      </c>
      <c r="C44" s="2" t="s">
        <v>187</v>
      </c>
      <c r="D44" s="2">
        <f>IFERROR(SUMIF(Purchase_Entry!C:C,A44,Purchase_Entry!F:F)-SUMIF(Sales_Entry!D:D,A44,Sales_Entry!G:G),0)</f>
        <v>156</v>
      </c>
      <c r="E44" s="3">
        <v>46376</v>
      </c>
      <c r="F44" s="2">
        <f ca="1">IFERROR(Medicine_Master!H43-TODAY(),"")</f>
        <v>289</v>
      </c>
      <c r="G44" s="2" t="str">
        <f ca="1">IFERROR(IF(Medicine_Master!H43&lt;TODAY(),"EXPIRED",IF(Medicine_Master!H43-TODAY()&lt;30,"URGENT",IF(Medicine_Master!H43-TODAY()&lt;60,"WARNING","OK"))),"OK")</f>
        <v>OK</v>
      </c>
      <c r="H44" s="4">
        <v>7</v>
      </c>
      <c r="I44" s="29">
        <f>IFERROR(D44*H44,0)</f>
        <v>1092</v>
      </c>
    </row>
    <row r="45" spans="1:9" ht="19.5" customHeight="1">
      <c r="A45" s="15" t="s">
        <v>194</v>
      </c>
      <c r="B45" s="8" t="s">
        <v>195</v>
      </c>
      <c r="C45" s="5" t="s">
        <v>187</v>
      </c>
      <c r="D45" s="5">
        <f>IFERROR(SUMIF(Purchase_Entry!C:C,A45,Purchase_Entry!F:F)-SUMIF(Sales_Entry!D:D,A45,Sales_Entry!G:G),0)</f>
        <v>86</v>
      </c>
      <c r="E45" s="6">
        <v>46597</v>
      </c>
      <c r="F45" s="5">
        <f ca="1">IFERROR(Medicine_Master!H44-TODAY(),"")</f>
        <v>510</v>
      </c>
      <c r="G45" s="5" t="str">
        <f ca="1">IFERROR(IF(Medicine_Master!H44&lt;TODAY(),"EXPIRED",IF(Medicine_Master!H44-TODAY()&lt;30,"URGENT",IF(Medicine_Master!H44-TODAY()&lt;60,"WARNING","OK"))),"OK")</f>
        <v>OK</v>
      </c>
      <c r="H45" s="7">
        <v>36</v>
      </c>
      <c r="I45" s="28">
        <f>IFERROR(D45*H45,0)</f>
        <v>3096</v>
      </c>
    </row>
    <row r="46" spans="1:9" ht="19.5" customHeight="1">
      <c r="A46" s="16" t="s">
        <v>196</v>
      </c>
      <c r="B46" s="9" t="s">
        <v>197</v>
      </c>
      <c r="C46" s="2" t="s">
        <v>198</v>
      </c>
      <c r="D46" s="2">
        <f>IFERROR(SUMIF(Purchase_Entry!C:C,A46,Purchase_Entry!F:F)-SUMIF(Sales_Entry!D:D,A46,Sales_Entry!G:G),0)</f>
        <v>-6</v>
      </c>
      <c r="E46" s="3">
        <v>46489</v>
      </c>
      <c r="F46" s="2">
        <f ca="1">IFERROR(Medicine_Master!H45-TODAY(),"")</f>
        <v>402</v>
      </c>
      <c r="G46" s="2" t="str">
        <f ca="1">IFERROR(IF(Medicine_Master!H45&lt;TODAY(),"EXPIRED",IF(Medicine_Master!H45-TODAY()&lt;30,"URGENT",IF(Medicine_Master!H45-TODAY()&lt;60,"WARNING","OK"))),"OK")</f>
        <v>OK</v>
      </c>
      <c r="H46" s="4">
        <v>90</v>
      </c>
      <c r="I46" s="29">
        <f>IFERROR(D46*H46,0)</f>
        <v>-540</v>
      </c>
    </row>
    <row r="47" spans="1:9" ht="19.5" customHeight="1">
      <c r="A47" s="15" t="s">
        <v>200</v>
      </c>
      <c r="B47" s="8" t="s">
        <v>201</v>
      </c>
      <c r="C47" s="5" t="s">
        <v>198</v>
      </c>
      <c r="D47" s="5">
        <f>IFERROR(SUMIF(Purchase_Entry!C:C,A47,Purchase_Entry!F:F)-SUMIF(Sales_Entry!D:D,A47,Sales_Entry!G:G),0)</f>
        <v>629</v>
      </c>
      <c r="E47" s="6">
        <v>46550</v>
      </c>
      <c r="F47" s="5">
        <f ca="1">IFERROR(Medicine_Master!H46-TODAY(),"")</f>
        <v>463</v>
      </c>
      <c r="G47" s="5" t="str">
        <f ca="1">IFERROR(IF(Medicine_Master!H46&lt;TODAY(),"EXPIRED",IF(Medicine_Master!H46-TODAY()&lt;30,"URGENT",IF(Medicine_Master!H46-TODAY()&lt;60,"WARNING","OK"))),"OK")</f>
        <v>OK</v>
      </c>
      <c r="H47" s="7">
        <v>85</v>
      </c>
      <c r="I47" s="28">
        <f>IFERROR(D47*H47,0)</f>
        <v>53465</v>
      </c>
    </row>
    <row r="48" spans="1:9" ht="19.5" customHeight="1">
      <c r="A48" s="16" t="s">
        <v>202</v>
      </c>
      <c r="B48" s="9" t="s">
        <v>203</v>
      </c>
      <c r="C48" s="2" t="s">
        <v>198</v>
      </c>
      <c r="D48" s="2">
        <f>IFERROR(SUMIF(Purchase_Entry!C:C,A48,Purchase_Entry!F:F)-SUMIF(Sales_Entry!D:D,A48,Sales_Entry!G:G),0)</f>
        <v>749</v>
      </c>
      <c r="E48" s="3">
        <v>46471</v>
      </c>
      <c r="F48" s="2">
        <f ca="1">IFERROR(Medicine_Master!H47-TODAY(),"")</f>
        <v>384</v>
      </c>
      <c r="G48" s="2" t="str">
        <f ca="1">IFERROR(IF(Medicine_Master!H47&lt;TODAY(),"EXPIRED",IF(Medicine_Master!H47-TODAY()&lt;30,"URGENT",IF(Medicine_Master!H47-TODAY()&lt;60,"WARNING","OK"))),"OK")</f>
        <v>OK</v>
      </c>
      <c r="H48" s="4">
        <v>70</v>
      </c>
      <c r="I48" s="29">
        <f>IFERROR(D48*H48,0)</f>
        <v>52430</v>
      </c>
    </row>
    <row r="49" spans="1:9" ht="19.5" customHeight="1">
      <c r="A49" s="15" t="s">
        <v>204</v>
      </c>
      <c r="B49" s="8" t="s">
        <v>205</v>
      </c>
      <c r="C49" s="5" t="s">
        <v>198</v>
      </c>
      <c r="D49" s="5">
        <f>IFERROR(SUMIF(Purchase_Entry!C:C,A49,Purchase_Entry!F:F)-SUMIF(Sales_Entry!D:D,A49,Sales_Entry!G:G),0)</f>
        <v>457</v>
      </c>
      <c r="E49" s="6">
        <v>46336</v>
      </c>
      <c r="F49" s="5">
        <f ca="1">IFERROR(Medicine_Master!H48-TODAY(),"")</f>
        <v>249</v>
      </c>
      <c r="G49" s="5" t="str">
        <f ca="1">IFERROR(IF(Medicine_Master!H48&lt;TODAY(),"EXPIRED",IF(Medicine_Master!H48-TODAY()&lt;30,"URGENT",IF(Medicine_Master!H48-TODAY()&lt;60,"WARNING","OK"))),"OK")</f>
        <v>OK</v>
      </c>
      <c r="H49" s="7">
        <v>41</v>
      </c>
      <c r="I49" s="28">
        <f>IFERROR(D49*H49,0)</f>
        <v>18737</v>
      </c>
    </row>
    <row r="50" spans="1:9" ht="19.5" customHeight="1">
      <c r="A50" s="16" t="s">
        <v>206</v>
      </c>
      <c r="B50" s="9" t="s">
        <v>207</v>
      </c>
      <c r="C50" s="2" t="s">
        <v>198</v>
      </c>
      <c r="D50" s="2">
        <f>IFERROR(SUMIF(Purchase_Entry!C:C,A50,Purchase_Entry!F:F)-SUMIF(Sales_Entry!D:D,A50,Sales_Entry!G:G),0)</f>
        <v>0</v>
      </c>
      <c r="E50" s="3">
        <v>46805</v>
      </c>
      <c r="F50" s="2">
        <f ca="1">IFERROR(Medicine_Master!H49-TODAY(),"")</f>
        <v>718</v>
      </c>
      <c r="G50" s="2" t="str">
        <f ca="1">IFERROR(IF(Medicine_Master!H49&lt;TODAY(),"EXPIRED",IF(Medicine_Master!H49-TODAY()&lt;30,"URGENT",IF(Medicine_Master!H49-TODAY()&lt;60,"WARNING","OK"))),"OK")</f>
        <v>OK</v>
      </c>
      <c r="H50" s="4">
        <v>80</v>
      </c>
      <c r="I50" s="29">
        <f>IFERROR(D50*H50,0)</f>
        <v>0</v>
      </c>
    </row>
    <row r="51" spans="1:9" ht="19.5" customHeight="1">
      <c r="A51" s="15" t="s">
        <v>209</v>
      </c>
      <c r="B51" s="8" t="s">
        <v>210</v>
      </c>
      <c r="C51" s="5" t="s">
        <v>211</v>
      </c>
      <c r="D51" s="5">
        <f>IFERROR(SUMIF(Purchase_Entry!C:C,A51,Purchase_Entry!F:F)-SUMIF(Sales_Entry!D:D,A51,Sales_Entry!G:G),0)</f>
        <v>684</v>
      </c>
      <c r="E51" s="6">
        <v>46107</v>
      </c>
      <c r="F51" s="5">
        <f ca="1">IFERROR(Medicine_Master!H50-TODAY(),"")</f>
        <v>20</v>
      </c>
      <c r="G51" s="5" t="str">
        <f ca="1">IFERROR(IF(Medicine_Master!H50&lt;TODAY(),"EXPIRED",IF(Medicine_Master!H50-TODAY()&lt;30,"URGENT",IF(Medicine_Master!H50-TODAY()&lt;60,"WARNING","OK"))),"OK")</f>
        <v>URGENT</v>
      </c>
      <c r="H51" s="7">
        <v>46</v>
      </c>
      <c r="I51" s="28">
        <f>IFERROR(D51*H51,0)</f>
        <v>31464</v>
      </c>
    </row>
    <row r="52" spans="1:9" ht="19.5" customHeight="1">
      <c r="A52" s="16" t="s">
        <v>213</v>
      </c>
      <c r="B52" s="9" t="s">
        <v>214</v>
      </c>
      <c r="C52" s="2" t="s">
        <v>211</v>
      </c>
      <c r="D52" s="2">
        <f>IFERROR(SUMIF(Purchase_Entry!C:C,A52,Purchase_Entry!F:F)-SUMIF(Sales_Entry!D:D,A52,Sales_Entry!G:G),0)</f>
        <v>345</v>
      </c>
      <c r="E52" s="3">
        <v>46815</v>
      </c>
      <c r="F52" s="2">
        <f ca="1">IFERROR(Medicine_Master!H51-TODAY(),"")</f>
        <v>728</v>
      </c>
      <c r="G52" s="2" t="str">
        <f ca="1">IFERROR(IF(Medicine_Master!H51&lt;TODAY(),"EXPIRED",IF(Medicine_Master!H51-TODAY()&lt;30,"URGENT",IF(Medicine_Master!H51-TODAY()&lt;60,"WARNING","OK"))),"OK")</f>
        <v>OK</v>
      </c>
      <c r="H52" s="4">
        <v>41</v>
      </c>
      <c r="I52" s="29">
        <f>IFERROR(D52*H52,0)</f>
        <v>14145</v>
      </c>
    </row>
    <row r="53" spans="1:9" ht="19.5" customHeight="1">
      <c r="A53" s="15" t="s">
        <v>215</v>
      </c>
      <c r="B53" s="8" t="s">
        <v>216</v>
      </c>
      <c r="C53" s="5" t="s">
        <v>211</v>
      </c>
      <c r="D53" s="5">
        <f>IFERROR(SUMIF(Purchase_Entry!C:C,A53,Purchase_Entry!F:F)-SUMIF(Sales_Entry!D:D,A53,Sales_Entry!G:G),0)</f>
        <v>151</v>
      </c>
      <c r="E53" s="6">
        <v>46058</v>
      </c>
      <c r="F53" s="5">
        <f ca="1">IFERROR(Medicine_Master!H52-TODAY(),"")</f>
        <v>-29</v>
      </c>
      <c r="G53" s="5" t="str">
        <f ca="1">IFERROR(IF(Medicine_Master!H52&lt;TODAY(),"EXPIRED",IF(Medicine_Master!H52-TODAY()&lt;30,"URGENT",IF(Medicine_Master!H52-TODAY()&lt;60,"WARNING","OK"))),"OK")</f>
        <v>EXPIRED</v>
      </c>
      <c r="H53" s="7">
        <v>17</v>
      </c>
      <c r="I53" s="28">
        <f>IFERROR(D53*H53,0)</f>
        <v>2567</v>
      </c>
    </row>
    <row r="54" spans="1:9" ht="19.5" customHeight="1">
      <c r="A54" s="16" t="s">
        <v>217</v>
      </c>
      <c r="B54" s="9" t="s">
        <v>35</v>
      </c>
      <c r="C54" s="2" t="s">
        <v>211</v>
      </c>
      <c r="D54" s="2">
        <f>IFERROR(SUMIF(Purchase_Entry!C:C,A54,Purchase_Entry!F:F)-SUMIF(Sales_Entry!D:D,A54,Sales_Entry!G:G),0)</f>
        <v>1045</v>
      </c>
      <c r="E54" s="3">
        <v>46091</v>
      </c>
      <c r="F54" s="2">
        <f ca="1">IFERROR(Medicine_Master!H53-TODAY(),"")</f>
        <v>4</v>
      </c>
      <c r="G54" s="2" t="str">
        <f ca="1">IFERROR(IF(Medicine_Master!H53&lt;TODAY(),"EXPIRED",IF(Medicine_Master!H53-TODAY()&lt;30,"URGENT",IF(Medicine_Master!H53-TODAY()&lt;60,"WARNING","OK"))),"OK")</f>
        <v>URGENT</v>
      </c>
      <c r="H54" s="4">
        <v>21</v>
      </c>
      <c r="I54" s="29">
        <f>IFERROR(D54*H54,0)</f>
        <v>21945</v>
      </c>
    </row>
    <row r="55" spans="1:9" ht="19.5" customHeight="1">
      <c r="A55" s="15" t="s">
        <v>218</v>
      </c>
      <c r="B55" s="8" t="s">
        <v>219</v>
      </c>
      <c r="C55" s="5" t="s">
        <v>211</v>
      </c>
      <c r="D55" s="5">
        <f>IFERROR(SUMIF(Purchase_Entry!C:C,A55,Purchase_Entry!F:F)-SUMIF(Sales_Entry!D:D,A55,Sales_Entry!G:G),0)</f>
        <v>0</v>
      </c>
      <c r="E55" s="6">
        <v>46114</v>
      </c>
      <c r="F55" s="5">
        <f ca="1">IFERROR(Medicine_Master!H54-TODAY(),"")</f>
        <v>27</v>
      </c>
      <c r="G55" s="5" t="str">
        <f ca="1">IFERROR(IF(Medicine_Master!H54&lt;TODAY(),"EXPIRED",IF(Medicine_Master!H54-TODAY()&lt;30,"URGENT",IF(Medicine_Master!H54-TODAY()&lt;60,"WARNING","OK"))),"OK")</f>
        <v>URGENT</v>
      </c>
      <c r="H55" s="7">
        <v>18</v>
      </c>
      <c r="I55" s="28">
        <f>IFERROR(D55*H55,0)</f>
        <v>0</v>
      </c>
    </row>
    <row r="56" spans="1:9" ht="19.5" customHeight="1">
      <c r="A56" s="16" t="s">
        <v>220</v>
      </c>
      <c r="B56" s="9" t="s">
        <v>221</v>
      </c>
      <c r="C56" s="2" t="s">
        <v>211</v>
      </c>
      <c r="D56" s="2">
        <f>IFERROR(SUMIF(Purchase_Entry!C:C,A56,Purchase_Entry!F:F)-SUMIF(Sales_Entry!D:D,A56,Sales_Entry!G:G),0)</f>
        <v>73</v>
      </c>
      <c r="E56" s="3">
        <v>46613</v>
      </c>
      <c r="F56" s="2">
        <f ca="1">IFERROR(Medicine_Master!H55-TODAY(),"")</f>
        <v>526</v>
      </c>
      <c r="G56" s="2" t="str">
        <f ca="1">IFERROR(IF(Medicine_Master!H55&lt;TODAY(),"EXPIRED",IF(Medicine_Master!H55-TODAY()&lt;30,"URGENT",IF(Medicine_Master!H55-TODAY()&lt;60,"WARNING","OK"))),"OK")</f>
        <v>OK</v>
      </c>
      <c r="H56" s="4">
        <v>36</v>
      </c>
      <c r="I56" s="29">
        <f>IFERROR(D56*H56,0)</f>
        <v>2628</v>
      </c>
    </row>
    <row r="57" spans="1:9" ht="19.5" customHeight="1">
      <c r="A57" s="15" t="s">
        <v>222</v>
      </c>
      <c r="B57" s="8" t="s">
        <v>223</v>
      </c>
      <c r="C57" s="5" t="s">
        <v>224</v>
      </c>
      <c r="D57" s="5">
        <f>IFERROR(SUMIF(Purchase_Entry!C:C,A57,Purchase_Entry!F:F)-SUMIF(Sales_Entry!D:D,A57,Sales_Entry!G:G),0)</f>
        <v>0</v>
      </c>
      <c r="E57" s="6">
        <v>46119</v>
      </c>
      <c r="F57" s="5">
        <f ca="1">IFERROR(Medicine_Master!H56-TODAY(),"")</f>
        <v>32</v>
      </c>
      <c r="G57" s="5" t="str">
        <f ca="1">IFERROR(IF(Medicine_Master!H56&lt;TODAY(),"EXPIRED",IF(Medicine_Master!H56-TODAY()&lt;30,"URGENT",IF(Medicine_Master!H56-TODAY()&lt;60,"WARNING","OK"))),"OK")</f>
        <v>WARNING</v>
      </c>
      <c r="H57" s="7">
        <v>46</v>
      </c>
      <c r="I57" s="28">
        <f>IFERROR(D57*H57,0)</f>
        <v>0</v>
      </c>
    </row>
    <row r="58" spans="1:9" ht="19.5" customHeight="1">
      <c r="A58" s="16" t="s">
        <v>226</v>
      </c>
      <c r="B58" s="9" t="s">
        <v>227</v>
      </c>
      <c r="C58" s="2" t="s">
        <v>224</v>
      </c>
      <c r="D58" s="2">
        <f>IFERROR(SUMIF(Purchase_Entry!C:C,A58,Purchase_Entry!F:F)-SUMIF(Sales_Entry!D:D,A58,Sales_Entry!G:G),0)</f>
        <v>75</v>
      </c>
      <c r="E58" s="3">
        <v>46806</v>
      </c>
      <c r="F58" s="2">
        <f ca="1">IFERROR(Medicine_Master!H57-TODAY(),"")</f>
        <v>719</v>
      </c>
      <c r="G58" s="2" t="str">
        <f ca="1">IFERROR(IF(Medicine_Master!H57&lt;TODAY(),"EXPIRED",IF(Medicine_Master!H57-TODAY()&lt;30,"URGENT",IF(Medicine_Master!H57-TODAY()&lt;60,"WARNING","OK"))),"OK")</f>
        <v>OK</v>
      </c>
      <c r="H58" s="4">
        <v>41</v>
      </c>
      <c r="I58" s="29">
        <f>IFERROR(D58*H58,0)</f>
        <v>3075</v>
      </c>
    </row>
    <row r="59" spans="1:9" ht="19.5" customHeight="1">
      <c r="A59" s="15" t="s">
        <v>229</v>
      </c>
      <c r="B59" s="8" t="s">
        <v>230</v>
      </c>
      <c r="C59" s="5" t="s">
        <v>224</v>
      </c>
      <c r="D59" s="5">
        <f>IFERROR(SUMIF(Purchase_Entry!C:C,A59,Purchase_Entry!F:F)-SUMIF(Sales_Entry!D:D,A59,Sales_Entry!G:G),0)</f>
        <v>357</v>
      </c>
      <c r="E59" s="6">
        <v>46065</v>
      </c>
      <c r="F59" s="5">
        <f ca="1">IFERROR(Medicine_Master!H58-TODAY(),"")</f>
        <v>-22</v>
      </c>
      <c r="G59" s="5" t="str">
        <f ca="1">IFERROR(IF(Medicine_Master!H58&lt;TODAY(),"EXPIRED",IF(Medicine_Master!H58-TODAY()&lt;30,"URGENT",IF(Medicine_Master!H58-TODAY()&lt;60,"WARNING","OK"))),"OK")</f>
        <v>EXPIRED</v>
      </c>
      <c r="H59" s="7">
        <v>36</v>
      </c>
      <c r="I59" s="28">
        <f>IFERROR(D59*H59,0)</f>
        <v>12852</v>
      </c>
    </row>
    <row r="60" spans="1:9" ht="19.5" customHeight="1">
      <c r="A60" s="16" t="s">
        <v>231</v>
      </c>
      <c r="B60" s="9" t="s">
        <v>232</v>
      </c>
      <c r="C60" s="2" t="s">
        <v>224</v>
      </c>
      <c r="D60" s="2">
        <f>IFERROR(SUMIF(Purchase_Entry!C:C,A60,Purchase_Entry!F:F)-SUMIF(Sales_Entry!D:D,A60,Sales_Entry!G:G),0)</f>
        <v>281</v>
      </c>
      <c r="E60" s="3">
        <v>46492</v>
      </c>
      <c r="F60" s="2">
        <f ca="1">IFERROR(Medicine_Master!H59-TODAY(),"")</f>
        <v>405</v>
      </c>
      <c r="G60" s="2" t="str">
        <f ca="1">IFERROR(IF(Medicine_Master!H59&lt;TODAY(),"EXPIRED",IF(Medicine_Master!H59-TODAY()&lt;30,"URGENT",IF(Medicine_Master!H59-TODAY()&lt;60,"WARNING","OK"))),"OK")</f>
        <v>OK</v>
      </c>
      <c r="H60" s="4">
        <v>61</v>
      </c>
      <c r="I60" s="29">
        <f>IFERROR(D60*H60,0)</f>
        <v>17141</v>
      </c>
    </row>
    <row r="61" spans="1:9" ht="19.5" customHeight="1">
      <c r="A61" s="15" t="s">
        <v>233</v>
      </c>
      <c r="B61" s="8" t="s">
        <v>234</v>
      </c>
      <c r="C61" s="5" t="s">
        <v>224</v>
      </c>
      <c r="D61" s="5">
        <f>IFERROR(SUMIF(Purchase_Entry!C:C,A61,Purchase_Entry!F:F)-SUMIF(Sales_Entry!D:D,A61,Sales_Entry!G:G),0)</f>
        <v>118</v>
      </c>
      <c r="E61" s="6">
        <v>46325</v>
      </c>
      <c r="F61" s="5">
        <f ca="1">IFERROR(Medicine_Master!H60-TODAY(),"")</f>
        <v>238</v>
      </c>
      <c r="G61" s="5" t="str">
        <f ca="1">IFERROR(IF(Medicine_Master!H60&lt;TODAY(),"EXPIRED",IF(Medicine_Master!H60-TODAY()&lt;30,"URGENT",IF(Medicine_Master!H60-TODAY()&lt;60,"WARNING","OK"))),"OK")</f>
        <v>OK</v>
      </c>
      <c r="H61" s="7">
        <v>90</v>
      </c>
      <c r="I61" s="28">
        <f>IFERROR(D61*H61,0)</f>
        <v>10620</v>
      </c>
    </row>
    <row r="62" spans="1:9" ht="19.5" customHeight="1">
      <c r="A62" s="16" t="s">
        <v>235</v>
      </c>
      <c r="B62" s="9" t="s">
        <v>236</v>
      </c>
      <c r="C62" s="2" t="s">
        <v>224</v>
      </c>
      <c r="D62" s="2">
        <f>IFERROR(SUMIF(Purchase_Entry!C:C,A62,Purchase_Entry!F:F)-SUMIF(Sales_Entry!D:D,A62,Sales_Entry!G:G),0)</f>
        <v>0</v>
      </c>
      <c r="E62" s="3">
        <v>46332</v>
      </c>
      <c r="F62" s="2">
        <f ca="1">IFERROR(Medicine_Master!H61-TODAY(),"")</f>
        <v>245</v>
      </c>
      <c r="G62" s="2" t="str">
        <f ca="1">IFERROR(IF(Medicine_Master!H61&lt;TODAY(),"EXPIRED",IF(Medicine_Master!H61-TODAY()&lt;30,"URGENT",IF(Medicine_Master!H61-TODAY()&lt;60,"WARNING","OK"))),"OK")</f>
        <v>OK</v>
      </c>
      <c r="H62" s="4">
        <v>70</v>
      </c>
      <c r="I62" s="29">
        <f>IFERROR(D62*H62,0)</f>
        <v>0</v>
      </c>
    </row>
    <row r="63" spans="1:9" ht="19.5" customHeight="1">
      <c r="A63" s="15" t="s">
        <v>238</v>
      </c>
      <c r="B63" s="8" t="s">
        <v>239</v>
      </c>
      <c r="C63" s="5" t="s">
        <v>224</v>
      </c>
      <c r="D63" s="5">
        <f>IFERROR(SUMIF(Purchase_Entry!C:C,A63,Purchase_Entry!F:F)-SUMIF(Sales_Entry!D:D,A63,Sales_Entry!G:G),0)</f>
        <v>423</v>
      </c>
      <c r="E63" s="6">
        <v>46314</v>
      </c>
      <c r="F63" s="5">
        <f ca="1">IFERROR(Medicine_Master!H62-TODAY(),"")</f>
        <v>227</v>
      </c>
      <c r="G63" s="5" t="str">
        <f ca="1">IFERROR(IF(Medicine_Master!H62&lt;TODAY(),"EXPIRED",IF(Medicine_Master!H62-TODAY()&lt;30,"URGENT",IF(Medicine_Master!H62-TODAY()&lt;60,"WARNING","OK"))),"OK")</f>
        <v>OK</v>
      </c>
      <c r="H63" s="7">
        <v>46</v>
      </c>
      <c r="I63" s="28">
        <f>IFERROR(D63*H63,0)</f>
        <v>19458</v>
      </c>
    </row>
    <row r="64" spans="1:9" ht="19.5" customHeight="1">
      <c r="A64" s="16" t="s">
        <v>240</v>
      </c>
      <c r="B64" s="9" t="s">
        <v>32</v>
      </c>
      <c r="C64" s="2" t="s">
        <v>97</v>
      </c>
      <c r="D64" s="2">
        <f>IFERROR(SUMIF(Purchase_Entry!C:C,A64,Purchase_Entry!F:F)-SUMIF(Sales_Entry!D:D,A64,Sales_Entry!G:G),0)</f>
        <v>88</v>
      </c>
      <c r="E64" s="3">
        <v>46083</v>
      </c>
      <c r="F64" s="2">
        <f ca="1">IFERROR(Medicine_Master!H63-TODAY(),"")</f>
        <v>-4</v>
      </c>
      <c r="G64" s="2" t="str">
        <f ca="1">IFERROR(IF(Medicine_Master!H63&lt;TODAY(),"EXPIRED",IF(Medicine_Master!H63-TODAY()&lt;30,"URGENT",IF(Medicine_Master!H63-TODAY()&lt;60,"WARNING","OK"))),"OK")</f>
        <v>EXPIRED</v>
      </c>
      <c r="H64" s="4">
        <v>80</v>
      </c>
      <c r="I64" s="29">
        <f>IFERROR(D64*H64,0)</f>
        <v>7040</v>
      </c>
    </row>
    <row r="65" spans="1:9" ht="19.5" customHeight="1">
      <c r="A65" s="15" t="s">
        <v>241</v>
      </c>
      <c r="B65" s="8" t="s">
        <v>242</v>
      </c>
      <c r="C65" s="5" t="s">
        <v>97</v>
      </c>
      <c r="D65" s="5">
        <f>IFERROR(SUMIF(Purchase_Entry!C:C,A65,Purchase_Entry!F:F)-SUMIF(Sales_Entry!D:D,A65,Sales_Entry!G:G),0)</f>
        <v>355</v>
      </c>
      <c r="E65" s="6">
        <v>46716</v>
      </c>
      <c r="F65" s="5">
        <f ca="1">IFERROR(Medicine_Master!H64-TODAY(),"")</f>
        <v>629</v>
      </c>
      <c r="G65" s="5" t="str">
        <f ca="1">IFERROR(IF(Medicine_Master!H64&lt;TODAY(),"EXPIRED",IF(Medicine_Master!H64-TODAY()&lt;30,"URGENT",IF(Medicine_Master!H64-TODAY()&lt;60,"WARNING","OK"))),"OK")</f>
        <v>OK</v>
      </c>
      <c r="H65" s="7">
        <v>95</v>
      </c>
      <c r="I65" s="28">
        <f>IFERROR(D65*H65,0)</f>
        <v>33725</v>
      </c>
    </row>
    <row r="66" spans="1:9" ht="19.5" customHeight="1">
      <c r="A66" s="16" t="s">
        <v>243</v>
      </c>
      <c r="B66" s="9" t="s">
        <v>244</v>
      </c>
      <c r="C66" s="2" t="s">
        <v>97</v>
      </c>
      <c r="D66" s="2">
        <f>IFERROR(SUMIF(Purchase_Entry!C:C,A66,Purchase_Entry!F:F)-SUMIF(Sales_Entry!D:D,A66,Sales_Entry!G:G),0)</f>
        <v>264</v>
      </c>
      <c r="E66" s="3">
        <v>46399</v>
      </c>
      <c r="F66" s="2">
        <f ca="1">IFERROR(Medicine_Master!H65-TODAY(),"")</f>
        <v>312</v>
      </c>
      <c r="G66" s="2" t="str">
        <f ca="1">IFERROR(IF(Medicine_Master!H65&lt;TODAY(),"EXPIRED",IF(Medicine_Master!H65-TODAY()&lt;30,"URGENT",IF(Medicine_Master!H65-TODAY()&lt;60,"WARNING","OK"))),"OK")</f>
        <v>OK</v>
      </c>
      <c r="H66" s="4">
        <v>90</v>
      </c>
      <c r="I66" s="29">
        <f>IFERROR(D66*H66,0)</f>
        <v>23760</v>
      </c>
    </row>
    <row r="67" spans="1:9" ht="19.5" customHeight="1">
      <c r="A67" s="15" t="s">
        <v>245</v>
      </c>
      <c r="B67" s="8" t="s">
        <v>246</v>
      </c>
      <c r="C67" s="5" t="s">
        <v>97</v>
      </c>
      <c r="D67" s="5">
        <f>IFERROR(SUMIF(Purchase_Entry!C:C,A67,Purchase_Entry!F:F)-SUMIF(Sales_Entry!D:D,A67,Sales_Entry!G:G),0)</f>
        <v>589</v>
      </c>
      <c r="E67" s="6">
        <v>46601</v>
      </c>
      <c r="F67" s="5">
        <f ca="1">IFERROR(Medicine_Master!H66-TODAY(),"")</f>
        <v>514</v>
      </c>
      <c r="G67" s="5" t="str">
        <f ca="1">IFERROR(IF(Medicine_Master!H66&lt;TODAY(),"EXPIRED",IF(Medicine_Master!H66-TODAY()&lt;30,"URGENT",IF(Medicine_Master!H66-TODAY()&lt;60,"WARNING","OK"))),"OK")</f>
        <v>OK</v>
      </c>
      <c r="H67" s="7">
        <v>120</v>
      </c>
      <c r="I67" s="28">
        <f>IFERROR(D67*H67,0)</f>
        <v>70680</v>
      </c>
    </row>
    <row r="68" spans="1:9" ht="19.5" customHeight="1">
      <c r="A68" s="16" t="s">
        <v>247</v>
      </c>
      <c r="B68" s="9" t="s">
        <v>248</v>
      </c>
      <c r="C68" s="2" t="s">
        <v>97</v>
      </c>
      <c r="D68" s="2">
        <f>IFERROR(SUMIF(Purchase_Entry!C:C,A68,Purchase_Entry!F:F)-SUMIF(Sales_Entry!D:D,A68,Sales_Entry!G:G),0)</f>
        <v>93</v>
      </c>
      <c r="E68" s="3">
        <v>46608</v>
      </c>
      <c r="F68" s="2">
        <f ca="1">IFERROR(Medicine_Master!H67-TODAY(),"")</f>
        <v>521</v>
      </c>
      <c r="G68" s="2" t="str">
        <f ca="1">IFERROR(IF(Medicine_Master!H67&lt;TODAY(),"EXPIRED",IF(Medicine_Master!H67-TODAY()&lt;30,"URGENT",IF(Medicine_Master!H67-TODAY()&lt;60,"WARNING","OK"))),"OK")</f>
        <v>OK</v>
      </c>
      <c r="H68" s="4">
        <v>61</v>
      </c>
      <c r="I68" s="29">
        <f>IFERROR(D68*H68,0)</f>
        <v>5673</v>
      </c>
    </row>
    <row r="69" spans="1:9" ht="19.5" customHeight="1">
      <c r="A69" s="15" t="s">
        <v>249</v>
      </c>
      <c r="B69" s="8" t="s">
        <v>250</v>
      </c>
      <c r="C69" s="5" t="s">
        <v>115</v>
      </c>
      <c r="D69" s="5">
        <f>IFERROR(SUMIF(Purchase_Entry!C:C,A69,Purchase_Entry!F:F)-SUMIF(Sales_Entry!D:D,A69,Sales_Entry!G:G),0)</f>
        <v>352</v>
      </c>
      <c r="E69" s="6">
        <v>46131</v>
      </c>
      <c r="F69" s="5">
        <f ca="1">IFERROR(Medicine_Master!H68-TODAY(),"")</f>
        <v>44</v>
      </c>
      <c r="G69" s="5" t="str">
        <f ca="1">IFERROR(IF(Medicine_Master!H68&lt;TODAY(),"EXPIRED",IF(Medicine_Master!H68-TODAY()&lt;30,"URGENT",IF(Medicine_Master!H68-TODAY()&lt;60,"WARNING","OK"))),"OK")</f>
        <v>WARNING</v>
      </c>
      <c r="H69" s="7">
        <v>31</v>
      </c>
      <c r="I69" s="28">
        <f>IFERROR(D69*H69,0)</f>
        <v>10912</v>
      </c>
    </row>
    <row r="70" spans="1:9" ht="19.5" customHeight="1">
      <c r="A70" s="16" t="s">
        <v>251</v>
      </c>
      <c r="B70" s="9" t="s">
        <v>36</v>
      </c>
      <c r="C70" s="2" t="s">
        <v>115</v>
      </c>
      <c r="D70" s="2">
        <f>IFERROR(SUMIF(Purchase_Entry!C:C,A70,Purchase_Entry!F:F)-SUMIF(Sales_Entry!D:D,A70,Sales_Entry!G:G),0)</f>
        <v>74</v>
      </c>
      <c r="E70" s="3">
        <v>46188</v>
      </c>
      <c r="F70" s="2">
        <f ca="1">IFERROR(Medicine_Master!H69-TODAY(),"")</f>
        <v>101</v>
      </c>
      <c r="G70" s="2" t="str">
        <f ca="1">IFERROR(IF(Medicine_Master!H69&lt;TODAY(),"EXPIRED",IF(Medicine_Master!H69-TODAY()&lt;30,"URGENT",IF(Medicine_Master!H69-TODAY()&lt;60,"WARNING","OK"))),"OK")</f>
        <v>OK</v>
      </c>
      <c r="H70" s="4">
        <v>41</v>
      </c>
      <c r="I70" s="29">
        <f>IFERROR(D70*H70,0)</f>
        <v>3034</v>
      </c>
    </row>
    <row r="71" spans="1:9" ht="19.5" customHeight="1">
      <c r="A71" s="15" t="s">
        <v>252</v>
      </c>
      <c r="B71" s="8" t="s">
        <v>253</v>
      </c>
      <c r="C71" s="5" t="s">
        <v>115</v>
      </c>
      <c r="D71" s="5">
        <f>IFERROR(SUMIF(Purchase_Entry!C:C,A71,Purchase_Entry!F:F)-SUMIF(Sales_Entry!D:D,A71,Sales_Entry!G:G),0)</f>
        <v>248</v>
      </c>
      <c r="E71" s="6">
        <v>46589</v>
      </c>
      <c r="F71" s="5">
        <f ca="1">IFERROR(Medicine_Master!H70-TODAY(),"")</f>
        <v>502</v>
      </c>
      <c r="G71" s="5" t="str">
        <f ca="1">IFERROR(IF(Medicine_Master!H70&lt;TODAY(),"EXPIRED",IF(Medicine_Master!H70-TODAY()&lt;30,"URGENT",IF(Medicine_Master!H70-TODAY()&lt;60,"WARNING","OK"))),"OK")</f>
        <v>OK</v>
      </c>
      <c r="H71" s="7">
        <v>26</v>
      </c>
      <c r="I71" s="28">
        <f>IFERROR(D71*H71,0)</f>
        <v>6448</v>
      </c>
    </row>
    <row r="72" spans="1:9" ht="19.5" customHeight="1">
      <c r="A72" s="16" t="s">
        <v>254</v>
      </c>
      <c r="B72" s="9" t="s">
        <v>255</v>
      </c>
      <c r="C72" s="2" t="s">
        <v>133</v>
      </c>
      <c r="D72" s="2">
        <f>IFERROR(SUMIF(Purchase_Entry!C:C,A72,Purchase_Entry!F:F)-SUMIF(Sales_Entry!D:D,A72,Sales_Entry!G:G),0)</f>
        <v>527</v>
      </c>
      <c r="E72" s="3">
        <v>46080</v>
      </c>
      <c r="F72" s="2">
        <f ca="1">IFERROR(Medicine_Master!H71-TODAY(),"")</f>
        <v>-7</v>
      </c>
      <c r="G72" s="2" t="str">
        <f ca="1">IFERROR(IF(Medicine_Master!H71&lt;TODAY(),"EXPIRED",IF(Medicine_Master!H71-TODAY()&lt;30,"URGENT",IF(Medicine_Master!H71-TODAY()&lt;60,"WARNING","OK"))),"OK")</f>
        <v>EXPIRED</v>
      </c>
      <c r="H72" s="4">
        <v>31</v>
      </c>
      <c r="I72" s="29">
        <f>IFERROR(D72*H72,0)</f>
        <v>16337</v>
      </c>
    </row>
    <row r="73" spans="1:9" ht="19.5" customHeight="1">
      <c r="A73" s="15" t="s">
        <v>256</v>
      </c>
      <c r="B73" s="8" t="s">
        <v>257</v>
      </c>
      <c r="C73" s="5" t="s">
        <v>133</v>
      </c>
      <c r="D73" s="5">
        <f>IFERROR(SUMIF(Purchase_Entry!C:C,A73,Purchase_Entry!F:F)-SUMIF(Sales_Entry!D:D,A73,Sales_Entry!G:G),0)</f>
        <v>98</v>
      </c>
      <c r="E73" s="6">
        <v>46675</v>
      </c>
      <c r="F73" s="5">
        <f ca="1">IFERROR(Medicine_Master!H72-TODAY(),"")</f>
        <v>588</v>
      </c>
      <c r="G73" s="5" t="str">
        <f ca="1">IFERROR(IF(Medicine_Master!H72&lt;TODAY(),"EXPIRED",IF(Medicine_Master!H72-TODAY()&lt;30,"URGENT",IF(Medicine_Master!H72-TODAY()&lt;60,"WARNING","OK"))),"OK")</f>
        <v>OK</v>
      </c>
      <c r="H73" s="7">
        <v>41</v>
      </c>
      <c r="I73" s="28">
        <f>IFERROR(D73*H73,0)</f>
        <v>4018</v>
      </c>
    </row>
    <row r="74" spans="1:9" ht="19.5" customHeight="1">
      <c r="A74" s="16" t="s">
        <v>258</v>
      </c>
      <c r="B74" s="9" t="s">
        <v>259</v>
      </c>
      <c r="C74" s="2" t="s">
        <v>133</v>
      </c>
      <c r="D74" s="2">
        <f>IFERROR(SUMIF(Purchase_Entry!C:C,A74,Purchase_Entry!F:F)-SUMIF(Sales_Entry!D:D,A74,Sales_Entry!G:G),0)</f>
        <v>138</v>
      </c>
      <c r="E74" s="3">
        <v>46378</v>
      </c>
      <c r="F74" s="2">
        <f ca="1">IFERROR(Medicine_Master!H73-TODAY(),"")</f>
        <v>291</v>
      </c>
      <c r="G74" s="2" t="str">
        <f ca="1">IFERROR(IF(Medicine_Master!H73&lt;TODAY(),"EXPIRED",IF(Medicine_Master!H73-TODAY()&lt;30,"URGENT",IF(Medicine_Master!H73-TODAY()&lt;60,"WARNING","OK"))),"OK")</f>
        <v>OK</v>
      </c>
      <c r="H74" s="4">
        <v>31</v>
      </c>
      <c r="I74" s="29">
        <f>IFERROR(D74*H74,0)</f>
        <v>4278</v>
      </c>
    </row>
    <row r="75" spans="1:9" ht="19.5" customHeight="1">
      <c r="A75" s="15" t="s">
        <v>260</v>
      </c>
      <c r="B75" s="8" t="s">
        <v>261</v>
      </c>
      <c r="C75" s="5" t="s">
        <v>145</v>
      </c>
      <c r="D75" s="5">
        <f>IFERROR(SUMIF(Purchase_Entry!C:C,A75,Purchase_Entry!F:F)-SUMIF(Sales_Entry!D:D,A75,Sales_Entry!G:G),0)</f>
        <v>0</v>
      </c>
      <c r="E75" s="6">
        <v>46088</v>
      </c>
      <c r="F75" s="5">
        <f ca="1">IFERROR(Medicine_Master!H74-TODAY(),"")</f>
        <v>1</v>
      </c>
      <c r="G75" s="5" t="str">
        <f ca="1">IFERROR(IF(Medicine_Master!H74&lt;TODAY(),"EXPIRED",IF(Medicine_Master!H74-TODAY()&lt;30,"URGENT",IF(Medicine_Master!H74-TODAY()&lt;60,"WARNING","OK"))),"OK")</f>
        <v>URGENT</v>
      </c>
      <c r="H75" s="7">
        <v>21</v>
      </c>
      <c r="I75" s="28">
        <f>IFERROR(D75*H75,0)</f>
        <v>0</v>
      </c>
    </row>
    <row r="76" spans="1:9" ht="19.5" customHeight="1">
      <c r="A76" s="16" t="s">
        <v>262</v>
      </c>
      <c r="B76" s="9" t="s">
        <v>31</v>
      </c>
      <c r="C76" s="2" t="s">
        <v>145</v>
      </c>
      <c r="D76" s="2">
        <f>IFERROR(SUMIF(Purchase_Entry!C:C,A76,Purchase_Entry!F:F)-SUMIF(Sales_Entry!D:D,A76,Sales_Entry!G:G),0)</f>
        <v>273</v>
      </c>
      <c r="E76" s="3">
        <v>46523</v>
      </c>
      <c r="F76" s="2">
        <f ca="1">IFERROR(Medicine_Master!H75-TODAY(),"")</f>
        <v>436</v>
      </c>
      <c r="G76" s="2" t="str">
        <f ca="1">IFERROR(IF(Medicine_Master!H75&lt;TODAY(),"EXPIRED",IF(Medicine_Master!H75-TODAY()&lt;30,"URGENT",IF(Medicine_Master!H75-TODAY()&lt;60,"WARNING","OK"))),"OK")</f>
        <v>OK</v>
      </c>
      <c r="H76" s="4">
        <v>90</v>
      </c>
      <c r="I76" s="29">
        <f>IFERROR(D76*H76,0)</f>
        <v>24570</v>
      </c>
    </row>
    <row r="77" spans="1:9" ht="19.5" customHeight="1">
      <c r="A77" s="15" t="s">
        <v>263</v>
      </c>
      <c r="B77" s="8" t="s">
        <v>264</v>
      </c>
      <c r="C77" s="5" t="s">
        <v>145</v>
      </c>
      <c r="D77" s="5">
        <f>IFERROR(SUMIF(Purchase_Entry!C:C,A77,Purchase_Entry!F:F)-SUMIF(Sales_Entry!D:D,A77,Sales_Entry!G:G),0)</f>
        <v>1270</v>
      </c>
      <c r="E77" s="6">
        <v>46284</v>
      </c>
      <c r="F77" s="5">
        <f ca="1">IFERROR(Medicine_Master!H76-TODAY(),"")</f>
        <v>197</v>
      </c>
      <c r="G77" s="5" t="str">
        <f ca="1">IFERROR(IF(Medicine_Master!H76&lt;TODAY(),"EXPIRED",IF(Medicine_Master!H76-TODAY()&lt;30,"URGENT",IF(Medicine_Master!H76-TODAY()&lt;60,"WARNING","OK"))),"OK")</f>
        <v>OK</v>
      </c>
      <c r="H77" s="7">
        <v>46</v>
      </c>
      <c r="I77" s="28">
        <f>IFERROR(D77*H77,0)</f>
        <v>58420</v>
      </c>
    </row>
    <row r="78" spans="1:9" ht="19.5" customHeight="1">
      <c r="A78" s="16" t="s">
        <v>265</v>
      </c>
      <c r="B78" s="9" t="s">
        <v>266</v>
      </c>
      <c r="C78" s="2" t="s">
        <v>160</v>
      </c>
      <c r="D78" s="2">
        <f>IFERROR(SUMIF(Purchase_Entry!C:C,A78,Purchase_Entry!F:F)-SUMIF(Sales_Entry!D:D,A78,Sales_Entry!G:G),0)</f>
        <v>192</v>
      </c>
      <c r="E78" s="3">
        <v>46403</v>
      </c>
      <c r="F78" s="2">
        <f ca="1">IFERROR(Medicine_Master!H77-TODAY(),"")</f>
        <v>316</v>
      </c>
      <c r="G78" s="2" t="str">
        <f ca="1">IFERROR(IF(Medicine_Master!H77&lt;TODAY(),"EXPIRED",IF(Medicine_Master!H77-TODAY()&lt;30,"URGENT",IF(Medicine_Master!H77-TODAY()&lt;60,"WARNING","OK"))),"OK")</f>
        <v>OK</v>
      </c>
      <c r="H78" s="4">
        <v>61</v>
      </c>
      <c r="I78" s="29">
        <f>IFERROR(D78*H78,0)</f>
        <v>11712</v>
      </c>
    </row>
    <row r="79" spans="1:9" ht="19.5" customHeight="1">
      <c r="A79" s="15" t="s">
        <v>267</v>
      </c>
      <c r="B79" s="8" t="s">
        <v>268</v>
      </c>
      <c r="C79" s="5" t="s">
        <v>160</v>
      </c>
      <c r="D79" s="5">
        <f>IFERROR(SUMIF(Purchase_Entry!C:C,A79,Purchase_Entry!F:F)-SUMIF(Sales_Entry!D:D,A79,Sales_Entry!G:G),0)</f>
        <v>0</v>
      </c>
      <c r="E79" s="6">
        <v>46120</v>
      </c>
      <c r="F79" s="5">
        <f ca="1">IFERROR(Medicine_Master!H78-TODAY(),"")</f>
        <v>33</v>
      </c>
      <c r="G79" s="5" t="str">
        <f ca="1">IFERROR(IF(Medicine_Master!H78&lt;TODAY(),"EXPIRED",IF(Medicine_Master!H78-TODAY()&lt;30,"URGENT",IF(Medicine_Master!H78-TODAY()&lt;60,"WARNING","OK"))),"OK")</f>
        <v>WARNING</v>
      </c>
      <c r="H79" s="7">
        <v>80</v>
      </c>
      <c r="I79" s="28">
        <f>IFERROR(D79*H79,0)</f>
        <v>0</v>
      </c>
    </row>
    <row r="80" spans="1:9" ht="19.5" customHeight="1">
      <c r="A80" s="16" t="s">
        <v>269</v>
      </c>
      <c r="B80" s="9" t="s">
        <v>270</v>
      </c>
      <c r="C80" s="2" t="s">
        <v>160</v>
      </c>
      <c r="D80" s="2">
        <f>IFERROR(SUMIF(Purchase_Entry!C:C,A80,Purchase_Entry!F:F)-SUMIF(Sales_Entry!D:D,A80,Sales_Entry!G:G),0)</f>
        <v>483</v>
      </c>
      <c r="E80" s="3">
        <v>46287</v>
      </c>
      <c r="F80" s="2">
        <f ca="1">IFERROR(Medicine_Master!H79-TODAY(),"")</f>
        <v>200</v>
      </c>
      <c r="G80" s="2" t="str">
        <f ca="1">IFERROR(IF(Medicine_Master!H79&lt;TODAY(),"EXPIRED",IF(Medicine_Master!H79-TODAY()&lt;30,"URGENT",IF(Medicine_Master!H79-TODAY()&lt;60,"WARNING","OK"))),"OK")</f>
        <v>OK</v>
      </c>
      <c r="H80" s="4">
        <v>190</v>
      </c>
      <c r="I80" s="29">
        <f>IFERROR(D80*H80,0)</f>
        <v>91770</v>
      </c>
    </row>
    <row r="81" spans="1:9" ht="19.5" customHeight="1">
      <c r="A81" s="15" t="s">
        <v>271</v>
      </c>
      <c r="B81" s="8" t="s">
        <v>272</v>
      </c>
      <c r="C81" s="5" t="s">
        <v>174</v>
      </c>
      <c r="D81" s="5">
        <f>IFERROR(SUMIF(Purchase_Entry!C:C,A81,Purchase_Entry!F:F)-SUMIF(Sales_Entry!D:D,A81,Sales_Entry!G:G),0)</f>
        <v>138</v>
      </c>
      <c r="E81" s="6">
        <v>46403</v>
      </c>
      <c r="F81" s="5">
        <f ca="1">IFERROR(Medicine_Master!H80-TODAY(),"")</f>
        <v>316</v>
      </c>
      <c r="G81" s="5" t="str">
        <f ca="1">IFERROR(IF(Medicine_Master!H80&lt;TODAY(),"EXPIRED",IF(Medicine_Master!H80-TODAY()&lt;30,"URGENT",IF(Medicine_Master!H80-TODAY()&lt;60,"WARNING","OK"))),"OK")</f>
        <v>OK</v>
      </c>
      <c r="H81" s="7">
        <v>36</v>
      </c>
      <c r="I81" s="28">
        <f>IFERROR(D81*H81,0)</f>
        <v>4968</v>
      </c>
    </row>
    <row r="82" spans="1:9" ht="19.5" customHeight="1">
      <c r="A82" s="16" t="s">
        <v>273</v>
      </c>
      <c r="B82" s="9" t="s">
        <v>274</v>
      </c>
      <c r="C82" s="2" t="s">
        <v>174</v>
      </c>
      <c r="D82" s="2">
        <f>IFERROR(SUMIF(Purchase_Entry!C:C,A82,Purchase_Entry!F:F)-SUMIF(Sales_Entry!D:D,A82,Sales_Entry!G:G),0)</f>
        <v>141</v>
      </c>
      <c r="E82" s="3">
        <v>46757</v>
      </c>
      <c r="F82" s="2">
        <f ca="1">IFERROR(Medicine_Master!H81-TODAY(),"")</f>
        <v>670</v>
      </c>
      <c r="G82" s="2" t="str">
        <f ca="1">IFERROR(IF(Medicine_Master!H81&lt;TODAY(),"EXPIRED",IF(Medicine_Master!H81-TODAY()&lt;30,"URGENT",IF(Medicine_Master!H81-TODAY()&lt;60,"WARNING","OK"))),"OK")</f>
        <v>OK</v>
      </c>
      <c r="H82" s="4">
        <v>61</v>
      </c>
      <c r="I82" s="29">
        <f>IFERROR(D82*H82,0)</f>
        <v>8601</v>
      </c>
    </row>
    <row r="83" spans="1:9" ht="19.5" customHeight="1">
      <c r="A83" s="15" t="s">
        <v>275</v>
      </c>
      <c r="B83" s="8" t="s">
        <v>276</v>
      </c>
      <c r="C83" s="5" t="s">
        <v>174</v>
      </c>
      <c r="D83" s="5">
        <f>IFERROR(SUMIF(Purchase_Entry!C:C,A83,Purchase_Entry!F:F)-SUMIF(Sales_Entry!D:D,A83,Sales_Entry!G:G),0)</f>
        <v>346</v>
      </c>
      <c r="E83" s="6">
        <v>46572</v>
      </c>
      <c r="F83" s="5">
        <f ca="1">IFERROR(Medicine_Master!H82-TODAY(),"")</f>
        <v>485</v>
      </c>
      <c r="G83" s="5" t="str">
        <f ca="1">IFERROR(IF(Medicine_Master!H82&lt;TODAY(),"EXPIRED",IF(Medicine_Master!H82-TODAY()&lt;30,"URGENT",IF(Medicine_Master!H82-TODAY()&lt;60,"WARNING","OK"))),"OK")</f>
        <v>OK</v>
      </c>
      <c r="H83" s="7">
        <v>17</v>
      </c>
      <c r="I83" s="28">
        <f>IFERROR(D83*H83,0)</f>
        <v>5882</v>
      </c>
    </row>
    <row r="84" spans="1:9" ht="19.5" customHeight="1">
      <c r="A84" s="16" t="s">
        <v>277</v>
      </c>
      <c r="B84" s="9" t="s">
        <v>278</v>
      </c>
      <c r="C84" s="2" t="s">
        <v>187</v>
      </c>
      <c r="D84" s="2">
        <f>IFERROR(SUMIF(Purchase_Entry!C:C,A84,Purchase_Entry!F:F)-SUMIF(Sales_Entry!D:D,A84,Sales_Entry!G:G),0)</f>
        <v>244</v>
      </c>
      <c r="E84" s="3">
        <v>46434</v>
      </c>
      <c r="F84" s="2">
        <f ca="1">IFERROR(Medicine_Master!H83-TODAY(),"")</f>
        <v>347</v>
      </c>
      <c r="G84" s="2" t="str">
        <f ca="1">IFERROR(IF(Medicine_Master!H83&lt;TODAY(),"EXPIRED",IF(Medicine_Master!H83-TODAY()&lt;30,"URGENT",IF(Medicine_Master!H83-TODAY()&lt;60,"WARNING","OK"))),"OK")</f>
        <v>OK</v>
      </c>
      <c r="H84" s="4">
        <v>46</v>
      </c>
      <c r="I84" s="29">
        <f>IFERROR(D84*H84,0)</f>
        <v>11224</v>
      </c>
    </row>
    <row r="85" spans="1:9" ht="19.5" customHeight="1">
      <c r="A85" s="15" t="s">
        <v>279</v>
      </c>
      <c r="B85" s="8" t="s">
        <v>280</v>
      </c>
      <c r="C85" s="5" t="s">
        <v>187</v>
      </c>
      <c r="D85" s="5">
        <f>IFERROR(SUMIF(Purchase_Entry!C:C,A85,Purchase_Entry!F:F)-SUMIF(Sales_Entry!D:D,A85,Sales_Entry!G:G),0)</f>
        <v>0</v>
      </c>
      <c r="E85" s="6">
        <v>46297</v>
      </c>
      <c r="F85" s="5">
        <f ca="1">IFERROR(Medicine_Master!H84-TODAY(),"")</f>
        <v>210</v>
      </c>
      <c r="G85" s="5" t="str">
        <f ca="1">IFERROR(IF(Medicine_Master!H84&lt;TODAY(),"EXPIRED",IF(Medicine_Master!H84-TODAY()&lt;30,"URGENT",IF(Medicine_Master!H84-TODAY()&lt;60,"WARNING","OK"))),"OK")</f>
        <v>OK</v>
      </c>
      <c r="H85" s="7">
        <v>41</v>
      </c>
      <c r="I85" s="28">
        <f>IFERROR(D85*H85,0)</f>
        <v>0</v>
      </c>
    </row>
    <row r="86" spans="1:9" ht="19.5" customHeight="1">
      <c r="A86" s="16" t="s">
        <v>281</v>
      </c>
      <c r="B86" s="9" t="s">
        <v>282</v>
      </c>
      <c r="C86" s="2" t="s">
        <v>187</v>
      </c>
      <c r="D86" s="2">
        <f>IFERROR(SUMIF(Purchase_Entry!C:C,A86,Purchase_Entry!F:F)-SUMIF(Sales_Entry!D:D,A86,Sales_Entry!G:G),0)</f>
        <v>705</v>
      </c>
      <c r="E86" s="3">
        <v>46285</v>
      </c>
      <c r="F86" s="2">
        <f ca="1">IFERROR(Medicine_Master!H85-TODAY(),"")</f>
        <v>198</v>
      </c>
      <c r="G86" s="2" t="str">
        <f ca="1">IFERROR(IF(Medicine_Master!H85&lt;TODAY(),"EXPIRED",IF(Medicine_Master!H85-TODAY()&lt;30,"URGENT",IF(Medicine_Master!H85-TODAY()&lt;60,"WARNING","OK"))),"OK")</f>
        <v>OK</v>
      </c>
      <c r="H86" s="4">
        <v>31</v>
      </c>
      <c r="I86" s="29">
        <f>IFERROR(D86*H86,0)</f>
        <v>21855</v>
      </c>
    </row>
    <row r="87" spans="1:9" ht="19.5" customHeight="1">
      <c r="A87" s="15" t="s">
        <v>283</v>
      </c>
      <c r="B87" s="8" t="s">
        <v>284</v>
      </c>
      <c r="C87" s="5" t="s">
        <v>198</v>
      </c>
      <c r="D87" s="5">
        <f>IFERROR(SUMIF(Purchase_Entry!C:C,A87,Purchase_Entry!F:F)-SUMIF(Sales_Entry!D:D,A87,Sales_Entry!G:G),0)</f>
        <v>0</v>
      </c>
      <c r="E87" s="6">
        <v>46137</v>
      </c>
      <c r="F87" s="5">
        <f ca="1">IFERROR(Medicine_Master!H86-TODAY(),"")</f>
        <v>50</v>
      </c>
      <c r="G87" s="5" t="str">
        <f ca="1">IFERROR(IF(Medicine_Master!H86&lt;TODAY(),"EXPIRED",IF(Medicine_Master!H86-TODAY()&lt;30,"URGENT",IF(Medicine_Master!H86-TODAY()&lt;60,"WARNING","OK"))),"OK")</f>
        <v>WARNING</v>
      </c>
      <c r="H87" s="7">
        <v>31</v>
      </c>
      <c r="I87" s="28">
        <f>IFERROR(D87*H87,0)</f>
        <v>0</v>
      </c>
    </row>
    <row r="88" spans="1:9" ht="19.5" customHeight="1">
      <c r="A88" s="16" t="s">
        <v>285</v>
      </c>
      <c r="B88" s="9" t="s">
        <v>286</v>
      </c>
      <c r="C88" s="2" t="s">
        <v>198</v>
      </c>
      <c r="D88" s="2">
        <f>IFERROR(SUMIF(Purchase_Entry!C:C,A88,Purchase_Entry!F:F)-SUMIF(Sales_Entry!D:D,A88,Sales_Entry!G:G),0)</f>
        <v>1017</v>
      </c>
      <c r="E88" s="3">
        <v>46126</v>
      </c>
      <c r="F88" s="2">
        <f ca="1">IFERROR(Medicine_Master!H87-TODAY(),"")</f>
        <v>39</v>
      </c>
      <c r="G88" s="2" t="str">
        <f ca="1">IFERROR(IF(Medicine_Master!H87&lt;TODAY(),"EXPIRED",IF(Medicine_Master!H87-TODAY()&lt;30,"URGENT",IF(Medicine_Master!H87-TODAY()&lt;60,"WARNING","OK"))),"OK")</f>
        <v>WARNING</v>
      </c>
      <c r="H88" s="4">
        <v>61</v>
      </c>
      <c r="I88" s="29">
        <f>IFERROR(D88*H88,0)</f>
        <v>62037</v>
      </c>
    </row>
    <row r="89" spans="1:9" ht="19.5" customHeight="1">
      <c r="A89" s="15" t="s">
        <v>287</v>
      </c>
      <c r="B89" s="8" t="s">
        <v>288</v>
      </c>
      <c r="C89" s="5" t="s">
        <v>211</v>
      </c>
      <c r="D89" s="5">
        <f>IFERROR(SUMIF(Purchase_Entry!C:C,A89,Purchase_Entry!F:F)-SUMIF(Sales_Entry!D:D,A89,Sales_Entry!G:G),0)</f>
        <v>1322</v>
      </c>
      <c r="E89" s="6">
        <v>46097</v>
      </c>
      <c r="F89" s="5">
        <f ca="1">IFERROR(Medicine_Master!H88-TODAY(),"")</f>
        <v>10</v>
      </c>
      <c r="G89" s="5" t="str">
        <f ca="1">IFERROR(IF(Medicine_Master!H88&lt;TODAY(),"EXPIRED",IF(Medicine_Master!H88-TODAY()&lt;30,"URGENT",IF(Medicine_Master!H88-TODAY()&lt;60,"WARNING","OK"))),"OK")</f>
        <v>URGENT</v>
      </c>
      <c r="H89" s="7">
        <v>61</v>
      </c>
      <c r="I89" s="28">
        <f>IFERROR(D89*H89,0)</f>
        <v>80642</v>
      </c>
    </row>
    <row r="90" spans="1:9" ht="19.5" customHeight="1">
      <c r="A90" s="16" t="s">
        <v>289</v>
      </c>
      <c r="B90" s="9" t="s">
        <v>290</v>
      </c>
      <c r="C90" s="2" t="s">
        <v>211</v>
      </c>
      <c r="D90" s="2">
        <f>IFERROR(SUMIF(Purchase_Entry!C:C,A90,Purchase_Entry!F:F)-SUMIF(Sales_Entry!D:D,A90,Sales_Entry!G:G),0)</f>
        <v>531</v>
      </c>
      <c r="E90" s="3">
        <v>46226</v>
      </c>
      <c r="F90" s="2">
        <f ca="1">IFERROR(Medicine_Master!H89-TODAY(),"")</f>
        <v>139</v>
      </c>
      <c r="G90" s="2" t="str">
        <f ca="1">IFERROR(IF(Medicine_Master!H89&lt;TODAY(),"EXPIRED",IF(Medicine_Master!H89-TODAY()&lt;30,"URGENT",IF(Medicine_Master!H89-TODAY()&lt;60,"WARNING","OK"))),"OK")</f>
        <v>OK</v>
      </c>
      <c r="H90" s="4">
        <v>70</v>
      </c>
      <c r="I90" s="29">
        <f>IFERROR(D90*H90,0)</f>
        <v>37170</v>
      </c>
    </row>
    <row r="91" spans="1:9" ht="19.5" customHeight="1">
      <c r="A91" s="15" t="s">
        <v>291</v>
      </c>
      <c r="B91" s="8" t="s">
        <v>30</v>
      </c>
      <c r="C91" s="5" t="s">
        <v>211</v>
      </c>
      <c r="D91" s="5">
        <f>IFERROR(SUMIF(Purchase_Entry!C:C,A91,Purchase_Entry!F:F)-SUMIF(Sales_Entry!D:D,A91,Sales_Entry!G:G),0)</f>
        <v>241</v>
      </c>
      <c r="E91" s="6">
        <v>46350</v>
      </c>
      <c r="F91" s="5">
        <f ca="1">IFERROR(Medicine_Master!H90-TODAY(),"")</f>
        <v>263</v>
      </c>
      <c r="G91" s="5" t="str">
        <f ca="1">IFERROR(IF(Medicine_Master!H90&lt;TODAY(),"EXPIRED",IF(Medicine_Master!H90-TODAY()&lt;30,"URGENT",IF(Medicine_Master!H90-TODAY()&lt;60,"WARNING","OK"))),"OK")</f>
        <v>OK</v>
      </c>
      <c r="H91" s="7">
        <v>140</v>
      </c>
      <c r="I91" s="28">
        <f>IFERROR(D91*H91,0)</f>
        <v>33740</v>
      </c>
    </row>
    <row r="92" spans="1:9" ht="19.5" customHeight="1">
      <c r="A92" s="16" t="s">
        <v>293</v>
      </c>
      <c r="B92" s="9" t="s">
        <v>294</v>
      </c>
      <c r="C92" s="2" t="s">
        <v>224</v>
      </c>
      <c r="D92" s="2">
        <f>IFERROR(SUMIF(Purchase_Entry!C:C,A92,Purchase_Entry!F:F)-SUMIF(Sales_Entry!D:D,A92,Sales_Entry!G:G),0)</f>
        <v>248</v>
      </c>
      <c r="E92" s="3">
        <v>46129</v>
      </c>
      <c r="F92" s="2">
        <f ca="1">IFERROR(Medicine_Master!H91-TODAY(),"")</f>
        <v>42</v>
      </c>
      <c r="G92" s="2" t="str">
        <f ca="1">IFERROR(IF(Medicine_Master!H91&lt;TODAY(),"EXPIRED",IF(Medicine_Master!H91-TODAY()&lt;30,"URGENT",IF(Medicine_Master!H91-TODAY()&lt;60,"WARNING","OK"))),"OK")</f>
        <v>WARNING</v>
      </c>
      <c r="H92" s="4">
        <v>80</v>
      </c>
      <c r="I92" s="29">
        <f>IFERROR(D92*H92,0)</f>
        <v>19840</v>
      </c>
    </row>
    <row r="93" spans="1:9" ht="19.5" customHeight="1">
      <c r="A93" s="15" t="s">
        <v>295</v>
      </c>
      <c r="B93" s="8" t="s">
        <v>296</v>
      </c>
      <c r="C93" s="5" t="s">
        <v>224</v>
      </c>
      <c r="D93" s="5">
        <f>IFERROR(SUMIF(Purchase_Entry!C:C,A93,Purchase_Entry!F:F)-SUMIF(Sales_Entry!D:D,A93,Sales_Entry!G:G),0)</f>
        <v>159</v>
      </c>
      <c r="E93" s="6">
        <v>46441</v>
      </c>
      <c r="F93" s="5">
        <f ca="1">IFERROR(Medicine_Master!H92-TODAY(),"")</f>
        <v>354</v>
      </c>
      <c r="G93" s="5" t="str">
        <f ca="1">IFERROR(IF(Medicine_Master!H92&lt;TODAY(),"EXPIRED",IF(Medicine_Master!H92-TODAY()&lt;30,"URGENT",IF(Medicine_Master!H92-TODAY()&lt;60,"WARNING","OK"))),"OK")</f>
        <v>OK</v>
      </c>
      <c r="H93" s="7">
        <v>95</v>
      </c>
      <c r="I93" s="28">
        <f>IFERROR(D93*H93,0)</f>
        <v>15105</v>
      </c>
    </row>
    <row r="94" spans="1:9" ht="19.5" customHeight="1">
      <c r="A94" s="16" t="s">
        <v>297</v>
      </c>
      <c r="B94" s="9" t="s">
        <v>298</v>
      </c>
      <c r="C94" s="2" t="s">
        <v>224</v>
      </c>
      <c r="D94" s="2">
        <f>IFERROR(SUMIF(Purchase_Entry!C:C,A94,Purchase_Entry!F:F)-SUMIF(Sales_Entry!D:D,A94,Sales_Entry!G:G),0)</f>
        <v>357</v>
      </c>
      <c r="E94" s="3">
        <v>46189</v>
      </c>
      <c r="F94" s="2">
        <f ca="1">IFERROR(Medicine_Master!H93-TODAY(),"")</f>
        <v>102</v>
      </c>
      <c r="G94" s="2" t="str">
        <f ca="1">IFERROR(IF(Medicine_Master!H93&lt;TODAY(),"EXPIRED",IF(Medicine_Master!H93-TODAY()&lt;30,"URGENT",IF(Medicine_Master!H93-TODAY()&lt;60,"WARNING","OK"))),"OK")</f>
        <v>OK</v>
      </c>
      <c r="H94" s="4">
        <v>61</v>
      </c>
      <c r="I94" s="29">
        <f>IFERROR(D94*H94,0)</f>
        <v>21777</v>
      </c>
    </row>
    <row r="95" spans="1:9" ht="19.5" customHeight="1">
      <c r="A95" s="15" t="s">
        <v>299</v>
      </c>
      <c r="B95" s="8" t="s">
        <v>300</v>
      </c>
      <c r="C95" s="5" t="s">
        <v>224</v>
      </c>
      <c r="D95" s="5">
        <f>IFERROR(SUMIF(Purchase_Entry!C:C,A95,Purchase_Entry!F:F)-SUMIF(Sales_Entry!D:D,A95,Sales_Entry!G:G),0)</f>
        <v>156</v>
      </c>
      <c r="E95" s="6">
        <v>46470</v>
      </c>
      <c r="F95" s="5">
        <f ca="1">IFERROR(Medicine_Master!H94-TODAY(),"")</f>
        <v>383</v>
      </c>
      <c r="G95" s="5" t="str">
        <f ca="1">IFERROR(IF(Medicine_Master!H94&lt;TODAY(),"EXPIRED",IF(Medicine_Master!H94-TODAY()&lt;30,"URGENT",IF(Medicine_Master!H94-TODAY()&lt;60,"WARNING","OK"))),"OK")</f>
        <v>OK</v>
      </c>
      <c r="H95" s="7">
        <v>90</v>
      </c>
      <c r="I95" s="28">
        <f>IFERROR(D95*H95,0)</f>
        <v>14040</v>
      </c>
    </row>
    <row r="96" spans="1:9" ht="19.5" customHeight="1">
      <c r="A96" s="16" t="s">
        <v>301</v>
      </c>
      <c r="B96" s="9" t="s">
        <v>302</v>
      </c>
      <c r="C96" s="2" t="s">
        <v>224</v>
      </c>
      <c r="D96" s="2">
        <f>IFERROR(SUMIF(Purchase_Entry!C:C,A96,Purchase_Entry!F:F)-SUMIF(Sales_Entry!D:D,A96,Sales_Entry!G:G),0)</f>
        <v>238</v>
      </c>
      <c r="E96" s="3">
        <v>46492</v>
      </c>
      <c r="F96" s="2">
        <f ca="1">IFERROR(Medicine_Master!H95-TODAY(),"")</f>
        <v>405</v>
      </c>
      <c r="G96" s="2" t="str">
        <f ca="1">IFERROR(IF(Medicine_Master!H95&lt;TODAY(),"EXPIRED",IF(Medicine_Master!H95-TODAY()&lt;30,"URGENT",IF(Medicine_Master!H95-TODAY()&lt;60,"WARNING","OK"))),"OK")</f>
        <v>OK</v>
      </c>
      <c r="H96" s="4">
        <v>70</v>
      </c>
      <c r="I96" s="29">
        <f>IFERROR(D96*H96,0)</f>
        <v>16660</v>
      </c>
    </row>
    <row r="97" spans="1:9" ht="19.5" customHeight="1">
      <c r="A97" s="15" t="s">
        <v>303</v>
      </c>
      <c r="B97" s="8" t="s">
        <v>304</v>
      </c>
      <c r="C97" s="5" t="s">
        <v>224</v>
      </c>
      <c r="D97" s="5">
        <f>IFERROR(SUMIF(Purchase_Entry!C:C,A97,Purchase_Entry!F:F)-SUMIF(Sales_Entry!D:D,A97,Sales_Entry!G:G),0)</f>
        <v>306</v>
      </c>
      <c r="E97" s="6">
        <v>46162</v>
      </c>
      <c r="F97" s="5">
        <f ca="1">IFERROR(Medicine_Master!H96-TODAY(),"")</f>
        <v>75</v>
      </c>
      <c r="G97" s="5" t="str">
        <f ca="1">IFERROR(IF(Medicine_Master!H96&lt;TODAY(),"EXPIRED",IF(Medicine_Master!H96-TODAY()&lt;30,"URGENT",IF(Medicine_Master!H96-TODAY()&lt;60,"WARNING","OK"))),"OK")</f>
        <v>OK</v>
      </c>
      <c r="H97" s="7">
        <v>75</v>
      </c>
      <c r="I97" s="28">
        <f>IFERROR(D97*H97,0)</f>
        <v>22950</v>
      </c>
    </row>
    <row r="98" spans="1:9" ht="19.5" customHeight="1">
      <c r="A98" s="22" t="s">
        <v>305</v>
      </c>
      <c r="B98" s="23" t="s">
        <v>306</v>
      </c>
      <c r="C98" s="24" t="s">
        <v>224</v>
      </c>
      <c r="D98" s="24">
        <f>IFERROR(SUMIF(Purchase_Entry!C:C,A98,Purchase_Entry!F:F)-SUMIF(Sales_Entry!D:D,A98,Sales_Entry!G:G),0)</f>
        <v>210</v>
      </c>
      <c r="E98" s="25">
        <v>46564</v>
      </c>
      <c r="F98" s="24">
        <f ca="1">IFERROR(Medicine_Master!H97-TODAY(),"")</f>
        <v>477</v>
      </c>
      <c r="G98" s="24" t="str">
        <f ca="1">IFERROR(IF(Medicine_Master!H97&lt;TODAY(),"EXPIRED",IF(Medicine_Master!H97-TODAY()&lt;30,"URGENT",IF(Medicine_Master!H97-TODAY()&lt;60,"WARNING","OK"))),"OK")</f>
        <v>OK</v>
      </c>
      <c r="H98" s="27">
        <v>210</v>
      </c>
      <c r="I98" s="31">
        <f>IFERROR(D98*H98,0)</f>
        <v>44100</v>
      </c>
    </row>
  </sheetData>
  <mergeCells count="1">
    <mergeCell ref="A1:I1"/>
  </mergeCells>
  <conditionalFormatting sqref="G3:G102">
    <cfRule type="expression" dxfId="51" priority="2">
      <formula>$G3="URGENT"</formula>
    </cfRule>
    <cfRule type="expression" dxfId="50" priority="3">
      <formula>$G3="WARNING"</formula>
    </cfRule>
    <cfRule type="expression" dxfId="49" priority="4">
      <formula>$G3="EXPIRED"</formula>
    </cfRule>
    <cfRule type="expression" dxfId="48" priority="5">
      <formula>$G3="OK"</formula>
    </cfRule>
  </conditionalFormatting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98"/>
  <sheetViews>
    <sheetView showGridLines="0" zoomScaleNormal="100" workbookViewId="0">
      <pane ySplit="2" topLeftCell="A3" activePane="bottomLeft" state="frozen"/>
      <selection pane="bottomLeft" activeCell="M6" sqref="M6"/>
    </sheetView>
  </sheetViews>
  <sheetFormatPr defaultColWidth="8.7109375" defaultRowHeight="15"/>
  <cols>
    <col min="1" max="1" width="9.7109375" style="1" customWidth="1"/>
    <col min="2" max="2" width="28" style="1" customWidth="1"/>
    <col min="3" max="3" width="18" style="1" customWidth="1"/>
    <col min="4" max="5" width="16" style="1" customWidth="1"/>
    <col min="6" max="6" width="12" style="1" customWidth="1"/>
    <col min="7" max="7" width="18.7109375" style="1" customWidth="1"/>
    <col min="8" max="8" width="12" style="1" customWidth="1"/>
  </cols>
  <sheetData>
    <row r="1" spans="1:8" ht="39.75" customHeight="1">
      <c r="A1" s="104" t="s">
        <v>784</v>
      </c>
      <c r="B1" s="104"/>
      <c r="C1" s="104"/>
      <c r="D1" s="104"/>
      <c r="E1" s="104"/>
      <c r="F1" s="104"/>
      <c r="G1" s="104"/>
      <c r="H1" s="104"/>
    </row>
    <row r="2" spans="1:8" ht="31.5" customHeight="1">
      <c r="A2" s="73" t="s">
        <v>55</v>
      </c>
      <c r="B2" s="74" t="s">
        <v>28</v>
      </c>
      <c r="C2" s="74" t="s">
        <v>56</v>
      </c>
      <c r="D2" s="74" t="s">
        <v>69</v>
      </c>
      <c r="E2" s="74" t="s">
        <v>60</v>
      </c>
      <c r="F2" s="74" t="s">
        <v>785</v>
      </c>
      <c r="G2" s="74" t="s">
        <v>786</v>
      </c>
      <c r="H2" s="75" t="s">
        <v>44</v>
      </c>
    </row>
    <row r="3" spans="1:8" ht="19.5" customHeight="1">
      <c r="A3" s="15" t="s">
        <v>95</v>
      </c>
      <c r="B3" s="8" t="s">
        <v>96</v>
      </c>
      <c r="C3" s="5" t="s">
        <v>97</v>
      </c>
      <c r="D3" s="5">
        <f>IFERROR(SUMIF(Purchase_Entry!C:C,A3,Purchase_Entry!F:F)-SUMIF(Sales_Entry!D:D,A3,Sales_Entry!G:G),0)</f>
        <v>927</v>
      </c>
      <c r="E3" s="5">
        <v>100</v>
      </c>
      <c r="F3" s="5">
        <f>MAX(0,E3-D3)</f>
        <v>0</v>
      </c>
      <c r="G3" s="5">
        <f>IFERROR(MAX(E3-D3,ROUNDUP(SUMIF(Sales_Entry!D:D,A3,Sales_Entry!G:G)/90*30,0)),0)</f>
        <v>0</v>
      </c>
      <c r="H3" s="17" t="str">
        <f>IF(D3=0,"CRITICAL",IF(D3&lt;E3/2,"HIGH",IF(D3&lt;E3,"MEDIUM","OK")))</f>
        <v>OK</v>
      </c>
    </row>
    <row r="4" spans="1:8" ht="19.5" customHeight="1">
      <c r="A4" s="16" t="s">
        <v>52</v>
      </c>
      <c r="B4" s="9" t="s">
        <v>39</v>
      </c>
      <c r="C4" s="2" t="s">
        <v>97</v>
      </c>
      <c r="D4" s="2">
        <f>IFERROR(SUMIF(Purchase_Entry!C:C,A4,Purchase_Entry!F:F)-SUMIF(Sales_Entry!D:D,A4,Sales_Entry!G:G),0)</f>
        <v>493</v>
      </c>
      <c r="E4" s="2">
        <v>50</v>
      </c>
      <c r="F4" s="2">
        <f>MAX(0,E4-D4)</f>
        <v>0</v>
      </c>
      <c r="G4" s="2">
        <f>IFERROR(MAX(E4-D4,ROUNDUP(SUMIF(Sales_Entry!D:D,A4,Sales_Entry!G:G)/90*30,0)),0)</f>
        <v>45</v>
      </c>
      <c r="H4" s="18" t="str">
        <f>IF(D4=0,"CRITICAL",IF(D4&lt;E4/2,"HIGH",IF(D4&lt;E4,"MEDIUM","OK")))</f>
        <v>OK</v>
      </c>
    </row>
    <row r="5" spans="1:8" ht="19.5" customHeight="1">
      <c r="A5" s="15" t="s">
        <v>104</v>
      </c>
      <c r="B5" s="8" t="s">
        <v>34</v>
      </c>
      <c r="C5" s="5" t="s">
        <v>97</v>
      </c>
      <c r="D5" s="5">
        <f>IFERROR(SUMIF(Purchase_Entry!C:C,A5,Purchase_Entry!F:F)-SUMIF(Sales_Entry!D:D,A5,Sales_Entry!G:G),0)</f>
        <v>354</v>
      </c>
      <c r="E5" s="5">
        <v>60</v>
      </c>
      <c r="F5" s="5">
        <f>MAX(0,E5-D5)</f>
        <v>0</v>
      </c>
      <c r="G5" s="5">
        <f>IFERROR(MAX(E5-D5,ROUNDUP(SUMIF(Sales_Entry!D:D,A5,Sales_Entry!G:G)/90*30,0)),0)</f>
        <v>31</v>
      </c>
      <c r="H5" s="17" t="str">
        <f>IF(D5=0,"CRITICAL",IF(D5&lt;E5/2,"HIGH",IF(D5&lt;E5,"MEDIUM","OK")))</f>
        <v>OK</v>
      </c>
    </row>
    <row r="6" spans="1:8" ht="19.5" customHeight="1">
      <c r="A6" s="16" t="s">
        <v>106</v>
      </c>
      <c r="B6" s="9" t="s">
        <v>33</v>
      </c>
      <c r="C6" s="2" t="s">
        <v>97</v>
      </c>
      <c r="D6" s="2">
        <f>IFERROR(SUMIF(Purchase_Entry!C:C,A6,Purchase_Entry!F:F)-SUMIF(Sales_Entry!D:D,A6,Sales_Entry!G:G),0)</f>
        <v>218</v>
      </c>
      <c r="E6" s="2">
        <v>80</v>
      </c>
      <c r="F6" s="2">
        <f>MAX(0,E6-D6)</f>
        <v>0</v>
      </c>
      <c r="G6" s="2">
        <f>IFERROR(MAX(E6-D6,ROUNDUP(SUMIF(Sales_Entry!D:D,A6,Sales_Entry!G:G)/90*30,0)),0)</f>
        <v>30</v>
      </c>
      <c r="H6" s="18" t="str">
        <f>IF(D6=0,"CRITICAL",IF(D6&lt;E6/2,"HIGH",IF(D6&lt;E6,"MEDIUM","OK")))</f>
        <v>OK</v>
      </c>
    </row>
    <row r="7" spans="1:8" ht="19.5" customHeight="1">
      <c r="A7" s="15" t="s">
        <v>107</v>
      </c>
      <c r="B7" s="8" t="s">
        <v>108</v>
      </c>
      <c r="C7" s="5" t="s">
        <v>97</v>
      </c>
      <c r="D7" s="5">
        <f>IFERROR(SUMIF(Purchase_Entry!C:C,A7,Purchase_Entry!F:F)-SUMIF(Sales_Entry!D:D,A7,Sales_Entry!G:G),0)</f>
        <v>65</v>
      </c>
      <c r="E7" s="5">
        <v>100</v>
      </c>
      <c r="F7" s="5">
        <f>MAX(0,E7-D7)</f>
        <v>35</v>
      </c>
      <c r="G7" s="5">
        <f>IFERROR(MAX(E7-D7,ROUNDUP(SUMIF(Sales_Entry!D:D,A7,Sales_Entry!G:G)/90*30,0)),0)</f>
        <v>35</v>
      </c>
      <c r="H7" s="17" t="str">
        <f>IF(D7=0,"CRITICAL",IF(D7&lt;E7/2,"HIGH",IF(D7&lt;E7,"MEDIUM","OK")))</f>
        <v>MEDIUM</v>
      </c>
    </row>
    <row r="8" spans="1:8" ht="19.5" customHeight="1">
      <c r="A8" s="16" t="s">
        <v>109</v>
      </c>
      <c r="B8" s="9" t="s">
        <v>110</v>
      </c>
      <c r="C8" s="2" t="s">
        <v>97</v>
      </c>
      <c r="D8" s="2">
        <f>IFERROR(SUMIF(Purchase_Entry!C:C,A8,Purchase_Entry!F:F)-SUMIF(Sales_Entry!D:D,A8,Sales_Entry!G:G),0)</f>
        <v>388</v>
      </c>
      <c r="E8" s="2">
        <v>60</v>
      </c>
      <c r="F8" s="2">
        <f>MAX(0,E8-D8)</f>
        <v>0</v>
      </c>
      <c r="G8" s="2">
        <f>IFERROR(MAX(E8-D8,ROUNDUP(SUMIF(Sales_Entry!D:D,A8,Sales_Entry!G:G)/90*30,0)),0)</f>
        <v>0</v>
      </c>
      <c r="H8" s="18" t="str">
        <f>IF(D8=0,"CRITICAL",IF(D8&lt;E8/2,"HIGH",IF(D8&lt;E8,"MEDIUM","OK")))</f>
        <v>OK</v>
      </c>
    </row>
    <row r="9" spans="1:8" ht="19.5" customHeight="1">
      <c r="A9" s="15" t="s">
        <v>112</v>
      </c>
      <c r="B9" s="8" t="s">
        <v>782</v>
      </c>
      <c r="C9" s="5" t="s">
        <v>97</v>
      </c>
      <c r="D9" s="5">
        <f>IFERROR(SUMIF(Purchase_Entry!C:C,A9,Purchase_Entry!F:F)-SUMIF(Sales_Entry!D:D,A9,Sales_Entry!G:G),0)</f>
        <v>0</v>
      </c>
      <c r="E9" s="5">
        <v>80</v>
      </c>
      <c r="F9" s="5">
        <f>MAX(0,E9-D9)</f>
        <v>80</v>
      </c>
      <c r="G9" s="5">
        <f>IFERROR(MAX(E9-D9,ROUNDUP(SUMIF(Sales_Entry!D:D,A9,Sales_Entry!G:G)/90*30,0)),0)</f>
        <v>80</v>
      </c>
      <c r="H9" s="17" t="str">
        <f>IF(D9=0,"CRITICAL",IF(D9&lt;E9/2,"HIGH",IF(D9&lt;E9,"MEDIUM","OK")))</f>
        <v>CRITICAL</v>
      </c>
    </row>
    <row r="10" spans="1:8" ht="19.5" customHeight="1">
      <c r="A10" s="16" t="s">
        <v>113</v>
      </c>
      <c r="B10" s="9" t="s">
        <v>114</v>
      </c>
      <c r="C10" s="2" t="s">
        <v>115</v>
      </c>
      <c r="D10" s="2">
        <f>IFERROR(SUMIF(Purchase_Entry!C:C,A10,Purchase_Entry!F:F)-SUMIF(Sales_Entry!D:D,A10,Sales_Entry!G:G),0)</f>
        <v>566</v>
      </c>
      <c r="E10" s="2">
        <v>200</v>
      </c>
      <c r="F10" s="2">
        <f>MAX(0,E10-D10)</f>
        <v>0</v>
      </c>
      <c r="G10" s="2">
        <f>IFERROR(MAX(E10-D10,ROUNDUP(SUMIF(Sales_Entry!D:D,A10,Sales_Entry!G:G)/90*30,0)),0)</f>
        <v>0</v>
      </c>
      <c r="H10" s="18" t="str">
        <f>IF(D10=0,"CRITICAL",IF(D10&lt;E10/2,"HIGH",IF(D10&lt;E10,"MEDIUM","OK")))</f>
        <v>OK</v>
      </c>
    </row>
    <row r="11" spans="1:8" ht="19.5" customHeight="1">
      <c r="A11" s="15" t="s">
        <v>117</v>
      </c>
      <c r="B11" s="8" t="s">
        <v>118</v>
      </c>
      <c r="C11" s="5" t="s">
        <v>115</v>
      </c>
      <c r="D11" s="5">
        <f>IFERROR(SUMIF(Purchase_Entry!C:C,A11,Purchase_Entry!F:F)-SUMIF(Sales_Entry!D:D,A11,Sales_Entry!G:G),0)</f>
        <v>433</v>
      </c>
      <c r="E11" s="5">
        <v>150</v>
      </c>
      <c r="F11" s="5">
        <f>MAX(0,E11-D11)</f>
        <v>0</v>
      </c>
      <c r="G11" s="5">
        <f>IFERROR(MAX(E11-D11,ROUNDUP(SUMIF(Sales_Entry!D:D,A11,Sales_Entry!G:G)/90*30,0)),0)</f>
        <v>2</v>
      </c>
      <c r="H11" s="17" t="str">
        <f>IF(D11=0,"CRITICAL",IF(D11&lt;E11/2,"HIGH",IF(D11&lt;E11,"MEDIUM","OK")))</f>
        <v>OK</v>
      </c>
    </row>
    <row r="12" spans="1:8" ht="19.5" customHeight="1">
      <c r="A12" s="16" t="s">
        <v>120</v>
      </c>
      <c r="B12" s="9" t="s">
        <v>121</v>
      </c>
      <c r="C12" s="2" t="s">
        <v>115</v>
      </c>
      <c r="D12" s="2">
        <f>IFERROR(SUMIF(Purchase_Entry!C:C,A12,Purchase_Entry!F:F)-SUMIF(Sales_Entry!D:D,A12,Sales_Entry!G:G),0)</f>
        <v>209</v>
      </c>
      <c r="E12" s="2">
        <v>120</v>
      </c>
      <c r="F12" s="2">
        <f>MAX(0,E12-D12)</f>
        <v>0</v>
      </c>
      <c r="G12" s="2">
        <f>IFERROR(MAX(E12-D12,ROUNDUP(SUMIF(Sales_Entry!D:D,A12,Sales_Entry!G:G)/90*30,0)),0)</f>
        <v>3</v>
      </c>
      <c r="H12" s="18" t="str">
        <f>IF(D12=0,"CRITICAL",IF(D12&lt;E12/2,"HIGH",IF(D12&lt;E12,"MEDIUM","OK")))</f>
        <v>OK</v>
      </c>
    </row>
    <row r="13" spans="1:8" ht="19.5" customHeight="1">
      <c r="A13" s="15" t="s">
        <v>123</v>
      </c>
      <c r="B13" s="8" t="s">
        <v>124</v>
      </c>
      <c r="C13" s="5" t="s">
        <v>115</v>
      </c>
      <c r="D13" s="5">
        <f>IFERROR(SUMIF(Purchase_Entry!C:C,A13,Purchase_Entry!F:F)-SUMIF(Sales_Entry!D:D,A13,Sales_Entry!G:G),0)</f>
        <v>0</v>
      </c>
      <c r="E13" s="5">
        <v>150</v>
      </c>
      <c r="F13" s="5">
        <f>MAX(0,E13-D13)</f>
        <v>150</v>
      </c>
      <c r="G13" s="5">
        <f>IFERROR(MAX(E13-D13,ROUNDUP(SUMIF(Sales_Entry!D:D,A13,Sales_Entry!G:G)/90*30,0)),0)</f>
        <v>150</v>
      </c>
      <c r="H13" s="17" t="str">
        <f>IF(D13=0,"CRITICAL",IF(D13&lt;E13/2,"HIGH",IF(D13&lt;E13,"MEDIUM","OK")))</f>
        <v>CRITICAL</v>
      </c>
    </row>
    <row r="14" spans="1:8" ht="19.5" customHeight="1">
      <c r="A14" s="16" t="s">
        <v>126</v>
      </c>
      <c r="B14" s="9" t="s">
        <v>127</v>
      </c>
      <c r="C14" s="2" t="s">
        <v>115</v>
      </c>
      <c r="D14" s="2">
        <f>IFERROR(SUMIF(Purchase_Entry!C:C,A14,Purchase_Entry!F:F)-SUMIF(Sales_Entry!D:D,A14,Sales_Entry!G:G),0)</f>
        <v>436</v>
      </c>
      <c r="E14" s="2">
        <v>70</v>
      </c>
      <c r="F14" s="2">
        <f>MAX(0,E14-D14)</f>
        <v>0</v>
      </c>
      <c r="G14" s="2">
        <f>IFERROR(MAX(E14-D14,ROUNDUP(SUMIF(Sales_Entry!D:D,A14,Sales_Entry!G:G)/90*30,0)),0)</f>
        <v>0</v>
      </c>
      <c r="H14" s="18" t="str">
        <f>IF(D14=0,"CRITICAL",IF(D14&lt;E14/2,"HIGH",IF(D14&lt;E14,"MEDIUM","OK")))</f>
        <v>OK</v>
      </c>
    </row>
    <row r="15" spans="1:8" ht="19.5" customHeight="1">
      <c r="A15" s="15" t="s">
        <v>129</v>
      </c>
      <c r="B15" s="8" t="s">
        <v>130</v>
      </c>
      <c r="C15" s="5" t="s">
        <v>115</v>
      </c>
      <c r="D15" s="5">
        <f>IFERROR(SUMIF(Purchase_Entry!C:C,A15,Purchase_Entry!F:F)-SUMIF(Sales_Entry!D:D,A15,Sales_Entry!G:G),0)</f>
        <v>208</v>
      </c>
      <c r="E15" s="5">
        <v>100</v>
      </c>
      <c r="F15" s="5">
        <f>MAX(0,E15-D15)</f>
        <v>0</v>
      </c>
      <c r="G15" s="5">
        <f>IFERROR(MAX(E15-D15,ROUNDUP(SUMIF(Sales_Entry!D:D,A15,Sales_Entry!G:G)/90*30,0)),0)</f>
        <v>12</v>
      </c>
      <c r="H15" s="17" t="str">
        <f>IF(D15=0,"CRITICAL",IF(D15&lt;E15/2,"HIGH",IF(D15&lt;E15,"MEDIUM","OK")))</f>
        <v>OK</v>
      </c>
    </row>
    <row r="16" spans="1:8" ht="19.5" customHeight="1">
      <c r="A16" s="16" t="s">
        <v>131</v>
      </c>
      <c r="B16" s="9" t="s">
        <v>132</v>
      </c>
      <c r="C16" s="2" t="s">
        <v>133</v>
      </c>
      <c r="D16" s="2">
        <f>IFERROR(SUMIF(Purchase_Entry!C:C,A16,Purchase_Entry!F:F)-SUMIF(Sales_Entry!D:D,A16,Sales_Entry!G:G),0)</f>
        <v>243</v>
      </c>
      <c r="E16" s="2">
        <v>120</v>
      </c>
      <c r="F16" s="2">
        <f>MAX(0,E16-D16)</f>
        <v>0</v>
      </c>
      <c r="G16" s="2">
        <f>IFERROR(MAX(E16-D16,ROUNDUP(SUMIF(Sales_Entry!D:D,A16,Sales_Entry!G:G)/90*30,0)),0)</f>
        <v>18</v>
      </c>
      <c r="H16" s="18" t="str">
        <f>IF(D16=0,"CRITICAL",IF(D16&lt;E16/2,"HIGH",IF(D16&lt;E16,"MEDIUM","OK")))</f>
        <v>OK</v>
      </c>
    </row>
    <row r="17" spans="1:8" ht="19.5" customHeight="1">
      <c r="A17" s="15" t="s">
        <v>134</v>
      </c>
      <c r="B17" s="8" t="s">
        <v>135</v>
      </c>
      <c r="C17" s="5" t="s">
        <v>133</v>
      </c>
      <c r="D17" s="5">
        <f>IFERROR(SUMIF(Purchase_Entry!C:C,A17,Purchase_Entry!F:F)-SUMIF(Sales_Entry!D:D,A17,Sales_Entry!G:G),0)</f>
        <v>88</v>
      </c>
      <c r="E17" s="5">
        <v>100</v>
      </c>
      <c r="F17" s="5">
        <f>MAX(0,E17-D17)</f>
        <v>12</v>
      </c>
      <c r="G17" s="5">
        <f>IFERROR(MAX(E17-D17,ROUNDUP(SUMIF(Sales_Entry!D:D,A17,Sales_Entry!G:G)/90*30,0)),0)</f>
        <v>12</v>
      </c>
      <c r="H17" s="17" t="str">
        <f>IF(D17=0,"CRITICAL",IF(D17&lt;E17/2,"HIGH",IF(D17&lt;E17,"MEDIUM","OK")))</f>
        <v>MEDIUM</v>
      </c>
    </row>
    <row r="18" spans="1:8" ht="19.5" customHeight="1">
      <c r="A18" s="16" t="s">
        <v>136</v>
      </c>
      <c r="B18" s="9" t="s">
        <v>37</v>
      </c>
      <c r="C18" s="2" t="s">
        <v>133</v>
      </c>
      <c r="D18" s="2">
        <f>IFERROR(SUMIF(Purchase_Entry!C:C,A18,Purchase_Entry!F:F)-SUMIF(Sales_Entry!D:D,A18,Sales_Entry!G:G),0)</f>
        <v>240</v>
      </c>
      <c r="E18" s="2">
        <v>130</v>
      </c>
      <c r="F18" s="2">
        <f>MAX(0,E18-D18)</f>
        <v>0</v>
      </c>
      <c r="G18" s="2">
        <f>IFERROR(MAX(E18-D18,ROUNDUP(SUMIF(Sales_Entry!D:D,A18,Sales_Entry!G:G)/90*30,0)),0)</f>
        <v>37</v>
      </c>
      <c r="H18" s="18" t="str">
        <f>IF(D18=0,"CRITICAL",IF(D18&lt;E18/2,"HIGH",IF(D18&lt;E18,"MEDIUM","OK")))</f>
        <v>OK</v>
      </c>
    </row>
    <row r="19" spans="1:8" ht="19.5" customHeight="1">
      <c r="A19" s="15" t="s">
        <v>137</v>
      </c>
      <c r="B19" s="8" t="s">
        <v>138</v>
      </c>
      <c r="C19" s="5" t="s">
        <v>133</v>
      </c>
      <c r="D19" s="5">
        <f>IFERROR(SUMIF(Purchase_Entry!C:C,A19,Purchase_Entry!F:F)-SUMIF(Sales_Entry!D:D,A19,Sales_Entry!G:G),0)</f>
        <v>386</v>
      </c>
      <c r="E19" s="5">
        <v>120</v>
      </c>
      <c r="F19" s="5">
        <f>MAX(0,E19-D19)</f>
        <v>0</v>
      </c>
      <c r="G19" s="5">
        <f>IFERROR(MAX(E19-D19,ROUNDUP(SUMIF(Sales_Entry!D:D,A19,Sales_Entry!G:G)/90*30,0)),0)</f>
        <v>3</v>
      </c>
      <c r="H19" s="17" t="str">
        <f>IF(D19=0,"CRITICAL",IF(D19&lt;E19/2,"HIGH",IF(D19&lt;E19,"MEDIUM","OK")))</f>
        <v>OK</v>
      </c>
    </row>
    <row r="20" spans="1:8" ht="19.5" customHeight="1">
      <c r="A20" s="16" t="s">
        <v>139</v>
      </c>
      <c r="B20" s="9" t="s">
        <v>140</v>
      </c>
      <c r="C20" s="2" t="s">
        <v>133</v>
      </c>
      <c r="D20" s="2">
        <f>IFERROR(SUMIF(Purchase_Entry!C:C,A20,Purchase_Entry!F:F)-SUMIF(Sales_Entry!D:D,A20,Sales_Entry!G:G),0)</f>
        <v>0</v>
      </c>
      <c r="E20" s="2">
        <v>80</v>
      </c>
      <c r="F20" s="2">
        <f>MAX(0,E20-D20)</f>
        <v>80</v>
      </c>
      <c r="G20" s="2">
        <f>IFERROR(MAX(E20-D20,ROUNDUP(SUMIF(Sales_Entry!D:D,A20,Sales_Entry!G:G)/90*30,0)),0)</f>
        <v>80</v>
      </c>
      <c r="H20" s="18" t="str">
        <f>IF(D20=0,"CRITICAL",IF(D20&lt;E20/2,"HIGH",IF(D20&lt;E20,"MEDIUM","OK")))</f>
        <v>CRITICAL</v>
      </c>
    </row>
    <row r="21" spans="1:8" ht="19.5" customHeight="1">
      <c r="A21" s="15" t="s">
        <v>142</v>
      </c>
      <c r="B21" s="8" t="s">
        <v>143</v>
      </c>
      <c r="C21" s="5" t="s">
        <v>133</v>
      </c>
      <c r="D21" s="5">
        <f>IFERROR(SUMIF(Purchase_Entry!C:C,A21,Purchase_Entry!F:F)-SUMIF(Sales_Entry!D:D,A21,Sales_Entry!G:G),0)</f>
        <v>193</v>
      </c>
      <c r="E21" s="5">
        <v>70</v>
      </c>
      <c r="F21" s="5">
        <f>MAX(0,E21-D21)</f>
        <v>0</v>
      </c>
      <c r="G21" s="5">
        <f>IFERROR(MAX(E21-D21,ROUNDUP(SUMIF(Sales_Entry!D:D,A21,Sales_Entry!G:G)/90*30,0)),0)</f>
        <v>6</v>
      </c>
      <c r="H21" s="17" t="str">
        <f>IF(D21=0,"CRITICAL",IF(D21&lt;E21/2,"HIGH",IF(D21&lt;E21,"MEDIUM","OK")))</f>
        <v>OK</v>
      </c>
    </row>
    <row r="22" spans="1:8" ht="19.5" customHeight="1">
      <c r="A22" s="16" t="s">
        <v>144</v>
      </c>
      <c r="B22" s="9" t="s">
        <v>38</v>
      </c>
      <c r="C22" s="2" t="s">
        <v>145</v>
      </c>
      <c r="D22" s="2">
        <f>IFERROR(SUMIF(Purchase_Entry!C:C,A22,Purchase_Entry!F:F)-SUMIF(Sales_Entry!D:D,A22,Sales_Entry!G:G),0)</f>
        <v>432</v>
      </c>
      <c r="E22" s="2">
        <v>150</v>
      </c>
      <c r="F22" s="2">
        <f>MAX(0,E22-D22)</f>
        <v>0</v>
      </c>
      <c r="G22" s="2">
        <f>IFERROR(MAX(E22-D22,ROUNDUP(SUMIF(Sales_Entry!D:D,A22,Sales_Entry!G:G)/90*30,0)),0)</f>
        <v>39</v>
      </c>
      <c r="H22" s="18" t="str">
        <f>IF(D22=0,"CRITICAL",IF(D22&lt;E22/2,"HIGH",IF(D22&lt;E22,"MEDIUM","OK")))</f>
        <v>OK</v>
      </c>
    </row>
    <row r="23" spans="1:8" ht="19.5" customHeight="1">
      <c r="A23" s="15" t="s">
        <v>146</v>
      </c>
      <c r="B23" s="8" t="s">
        <v>147</v>
      </c>
      <c r="C23" s="5" t="s">
        <v>145</v>
      </c>
      <c r="D23" s="5">
        <f>IFERROR(SUMIF(Purchase_Entry!C:C,A23,Purchase_Entry!F:F)-SUMIF(Sales_Entry!D:D,A23,Sales_Entry!G:G),0)</f>
        <v>1317</v>
      </c>
      <c r="E23" s="5">
        <v>100</v>
      </c>
      <c r="F23" s="5">
        <f>MAX(0,E23-D23)</f>
        <v>0</v>
      </c>
      <c r="G23" s="5">
        <f>IFERROR(MAX(E23-D23,ROUNDUP(SUMIF(Sales_Entry!D:D,A23,Sales_Entry!G:G)/90*30,0)),0)</f>
        <v>21</v>
      </c>
      <c r="H23" s="17" t="str">
        <f>IF(D23=0,"CRITICAL",IF(D23&lt;E23/2,"HIGH",IF(D23&lt;E23,"MEDIUM","OK")))</f>
        <v>OK</v>
      </c>
    </row>
    <row r="24" spans="1:8" ht="19.5" customHeight="1">
      <c r="A24" s="16" t="s">
        <v>148</v>
      </c>
      <c r="B24" s="9" t="s">
        <v>149</v>
      </c>
      <c r="C24" s="2" t="s">
        <v>145</v>
      </c>
      <c r="D24" s="2">
        <f>IFERROR(SUMIF(Purchase_Entry!C:C,A24,Purchase_Entry!F:F)-SUMIF(Sales_Entry!D:D,A24,Sales_Entry!G:G),0)</f>
        <v>179</v>
      </c>
      <c r="E24" s="2">
        <v>120</v>
      </c>
      <c r="F24" s="2">
        <f>MAX(0,E24-D24)</f>
        <v>0</v>
      </c>
      <c r="G24" s="2">
        <f>IFERROR(MAX(E24-D24,ROUNDUP(SUMIF(Sales_Entry!D:D,A24,Sales_Entry!G:G)/90*30,0)),0)</f>
        <v>10</v>
      </c>
      <c r="H24" s="18" t="str">
        <f>IF(D24=0,"CRITICAL",IF(D24&lt;E24/2,"HIGH",IF(D24&lt;E24,"MEDIUM","OK")))</f>
        <v>OK</v>
      </c>
    </row>
    <row r="25" spans="1:8" ht="19.5" customHeight="1">
      <c r="A25" s="15" t="s">
        <v>150</v>
      </c>
      <c r="B25" s="8" t="s">
        <v>151</v>
      </c>
      <c r="C25" s="5" t="s">
        <v>145</v>
      </c>
      <c r="D25" s="5">
        <f>IFERROR(SUMIF(Purchase_Entry!C:C,A25,Purchase_Entry!F:F)-SUMIF(Sales_Entry!D:D,A25,Sales_Entry!G:G),0)</f>
        <v>347</v>
      </c>
      <c r="E25" s="5">
        <v>200</v>
      </c>
      <c r="F25" s="5">
        <f>MAX(0,E25-D25)</f>
        <v>0</v>
      </c>
      <c r="G25" s="5">
        <f>IFERROR(MAX(E25-D25,ROUNDUP(SUMIF(Sales_Entry!D:D,A25,Sales_Entry!G:G)/90*30,0)),0)</f>
        <v>0</v>
      </c>
      <c r="H25" s="17" t="str">
        <f>IF(D25=0,"CRITICAL",IF(D25&lt;E25/2,"HIGH",IF(D25&lt;E25,"MEDIUM","OK")))</f>
        <v>OK</v>
      </c>
    </row>
    <row r="26" spans="1:8" ht="19.5" customHeight="1">
      <c r="A26" s="16" t="s">
        <v>152</v>
      </c>
      <c r="B26" s="9" t="s">
        <v>153</v>
      </c>
      <c r="C26" s="2" t="s">
        <v>145</v>
      </c>
      <c r="D26" s="2">
        <f>IFERROR(SUMIF(Purchase_Entry!C:C,A26,Purchase_Entry!F:F)-SUMIF(Sales_Entry!D:D,A26,Sales_Entry!G:G),0)</f>
        <v>373</v>
      </c>
      <c r="E26" s="2">
        <v>150</v>
      </c>
      <c r="F26" s="2">
        <f>MAX(0,E26-D26)</f>
        <v>0</v>
      </c>
      <c r="G26" s="2">
        <f>IFERROR(MAX(E26-D26,ROUNDUP(SUMIF(Sales_Entry!D:D,A26,Sales_Entry!G:G)/90*30,0)),0)</f>
        <v>6</v>
      </c>
      <c r="H26" s="18" t="str">
        <f>IF(D26=0,"CRITICAL",IF(D26&lt;E26/2,"HIGH",IF(D26&lt;E26,"MEDIUM","OK")))</f>
        <v>OK</v>
      </c>
    </row>
    <row r="27" spans="1:8" ht="19.5" customHeight="1">
      <c r="A27" s="15" t="s">
        <v>154</v>
      </c>
      <c r="B27" s="8" t="s">
        <v>155</v>
      </c>
      <c r="C27" s="5" t="s">
        <v>145</v>
      </c>
      <c r="D27" s="5">
        <f>IFERROR(SUMIF(Purchase_Entry!C:C,A27,Purchase_Entry!F:F)-SUMIF(Sales_Entry!D:D,A27,Sales_Entry!G:G),0)</f>
        <v>94</v>
      </c>
      <c r="E27" s="5">
        <v>80</v>
      </c>
      <c r="F27" s="5">
        <f>MAX(0,E27-D27)</f>
        <v>0</v>
      </c>
      <c r="G27" s="5">
        <f>IFERROR(MAX(E27-D27,ROUNDUP(SUMIF(Sales_Entry!D:D,A27,Sales_Entry!G:G)/90*30,0)),0)</f>
        <v>17</v>
      </c>
      <c r="H27" s="17" t="str">
        <f>IF(D27=0,"CRITICAL",IF(D27&lt;E27/2,"HIGH",IF(D27&lt;E27,"MEDIUM","OK")))</f>
        <v>OK</v>
      </c>
    </row>
    <row r="28" spans="1:8" ht="19.5" customHeight="1">
      <c r="A28" s="16" t="s">
        <v>156</v>
      </c>
      <c r="B28" s="9" t="s">
        <v>157</v>
      </c>
      <c r="C28" s="2" t="s">
        <v>145</v>
      </c>
      <c r="D28" s="2">
        <f>IFERROR(SUMIF(Purchase_Entry!C:C,A28,Purchase_Entry!F:F)-SUMIF(Sales_Entry!D:D,A28,Sales_Entry!G:G),0)</f>
        <v>0</v>
      </c>
      <c r="E28" s="2">
        <v>100</v>
      </c>
      <c r="F28" s="2">
        <f>MAX(0,E28-D28)</f>
        <v>100</v>
      </c>
      <c r="G28" s="2">
        <f>IFERROR(MAX(E28-D28,ROUNDUP(SUMIF(Sales_Entry!D:D,A28,Sales_Entry!G:G)/90*30,0)),0)</f>
        <v>100</v>
      </c>
      <c r="H28" s="18" t="str">
        <f>IF(D28=0,"CRITICAL",IF(D28&lt;E28/2,"HIGH",IF(D28&lt;E28,"MEDIUM","OK")))</f>
        <v>CRITICAL</v>
      </c>
    </row>
    <row r="29" spans="1:8" ht="19.5" customHeight="1">
      <c r="A29" s="15" t="s">
        <v>158</v>
      </c>
      <c r="B29" s="8" t="s">
        <v>159</v>
      </c>
      <c r="C29" s="5" t="s">
        <v>160</v>
      </c>
      <c r="D29" s="5">
        <f>IFERROR(SUMIF(Purchase_Entry!C:C,A29,Purchase_Entry!F:F)-SUMIF(Sales_Entry!D:D,A29,Sales_Entry!G:G),0)</f>
        <v>205</v>
      </c>
      <c r="E29" s="5">
        <v>200</v>
      </c>
      <c r="F29" s="5">
        <f>MAX(0,E29-D29)</f>
        <v>0</v>
      </c>
      <c r="G29" s="5">
        <f>IFERROR(MAX(E29-D29,ROUNDUP(SUMIF(Sales_Entry!D:D,A29,Sales_Entry!G:G)/90*30,0)),0)</f>
        <v>11</v>
      </c>
      <c r="H29" s="17" t="str">
        <f>IF(D29=0,"CRITICAL",IF(D29&lt;E29/2,"HIGH",IF(D29&lt;E29,"MEDIUM","OK")))</f>
        <v>OK</v>
      </c>
    </row>
    <row r="30" spans="1:8" ht="19.5" customHeight="1">
      <c r="A30" s="16" t="s">
        <v>161</v>
      </c>
      <c r="B30" s="9" t="s">
        <v>162</v>
      </c>
      <c r="C30" s="2" t="s">
        <v>160</v>
      </c>
      <c r="D30" s="2">
        <f>IFERROR(SUMIF(Purchase_Entry!C:C,A30,Purchase_Entry!F:F)-SUMIF(Sales_Entry!D:D,A30,Sales_Entry!G:G),0)</f>
        <v>708</v>
      </c>
      <c r="E30" s="2">
        <v>150</v>
      </c>
      <c r="F30" s="2">
        <f>MAX(0,E30-D30)</f>
        <v>0</v>
      </c>
      <c r="G30" s="2">
        <f>IFERROR(MAX(E30-D30,ROUNDUP(SUMIF(Sales_Entry!D:D,A30,Sales_Entry!G:G)/90*30,0)),0)</f>
        <v>1</v>
      </c>
      <c r="H30" s="18" t="str">
        <f>IF(D30=0,"CRITICAL",IF(D30&lt;E30/2,"HIGH",IF(D30&lt;E30,"MEDIUM","OK")))</f>
        <v>OK</v>
      </c>
    </row>
    <row r="31" spans="1:8" ht="19.5" customHeight="1">
      <c r="A31" s="15" t="s">
        <v>163</v>
      </c>
      <c r="B31" s="8" t="s">
        <v>164</v>
      </c>
      <c r="C31" s="5" t="s">
        <v>160</v>
      </c>
      <c r="D31" s="5">
        <f>IFERROR(SUMIF(Purchase_Entry!C:C,A31,Purchase_Entry!F:F)-SUMIF(Sales_Entry!D:D,A31,Sales_Entry!G:G),0)</f>
        <v>0</v>
      </c>
      <c r="E31" s="5">
        <v>180</v>
      </c>
      <c r="F31" s="5">
        <f>MAX(0,E31-D31)</f>
        <v>180</v>
      </c>
      <c r="G31" s="5">
        <f>IFERROR(MAX(E31-D31,ROUNDUP(SUMIF(Sales_Entry!D:D,A31,Sales_Entry!G:G)/90*30,0)),0)</f>
        <v>180</v>
      </c>
      <c r="H31" s="17" t="str">
        <f>IF(D31=0,"CRITICAL",IF(D31&lt;E31/2,"HIGH",IF(D31&lt;E31,"MEDIUM","OK")))</f>
        <v>CRITICAL</v>
      </c>
    </row>
    <row r="32" spans="1:8" ht="19.5" customHeight="1">
      <c r="A32" s="16" t="s">
        <v>165</v>
      </c>
      <c r="B32" s="9" t="s">
        <v>166</v>
      </c>
      <c r="C32" s="2" t="s">
        <v>160</v>
      </c>
      <c r="D32" s="2">
        <f>IFERROR(SUMIF(Purchase_Entry!C:C,A32,Purchase_Entry!F:F)-SUMIF(Sales_Entry!D:D,A32,Sales_Entry!G:G),0)</f>
        <v>278</v>
      </c>
      <c r="E32" s="2">
        <v>50</v>
      </c>
      <c r="F32" s="2">
        <f>MAX(0,E32-D32)</f>
        <v>0</v>
      </c>
      <c r="G32" s="2">
        <f>IFERROR(MAX(E32-D32,ROUNDUP(SUMIF(Sales_Entry!D:D,A32,Sales_Entry!G:G)/90*30,0)),0)</f>
        <v>3</v>
      </c>
      <c r="H32" s="18" t="str">
        <f>IF(D32=0,"CRITICAL",IF(D32&lt;E32/2,"HIGH",IF(D32&lt;E32,"MEDIUM","OK")))</f>
        <v>OK</v>
      </c>
    </row>
    <row r="33" spans="1:8" ht="19.5" customHeight="1">
      <c r="A33" s="15" t="s">
        <v>167</v>
      </c>
      <c r="B33" s="8" t="s">
        <v>168</v>
      </c>
      <c r="C33" s="5" t="s">
        <v>160</v>
      </c>
      <c r="D33" s="5">
        <f>IFERROR(SUMIF(Purchase_Entry!C:C,A33,Purchase_Entry!F:F)-SUMIF(Sales_Entry!D:D,A33,Sales_Entry!G:G),0)</f>
        <v>985</v>
      </c>
      <c r="E33" s="5">
        <v>130</v>
      </c>
      <c r="F33" s="5">
        <f>MAX(0,E33-D33)</f>
        <v>0</v>
      </c>
      <c r="G33" s="5">
        <f>IFERROR(MAX(E33-D33,ROUNDUP(SUMIF(Sales_Entry!D:D,A33,Sales_Entry!G:G)/90*30,0)),0)</f>
        <v>2</v>
      </c>
      <c r="H33" s="17" t="str">
        <f>IF(D33=0,"CRITICAL",IF(D33&lt;E33/2,"HIGH",IF(D33&lt;E33,"MEDIUM","OK")))</f>
        <v>OK</v>
      </c>
    </row>
    <row r="34" spans="1:8" ht="19.5" customHeight="1">
      <c r="A34" s="16" t="s">
        <v>169</v>
      </c>
      <c r="B34" s="9" t="s">
        <v>170</v>
      </c>
      <c r="C34" s="2" t="s">
        <v>160</v>
      </c>
      <c r="D34" s="2">
        <f>IFERROR(SUMIF(Purchase_Entry!C:C,A34,Purchase_Entry!F:F)-SUMIF(Sales_Entry!D:D,A34,Sales_Entry!G:G),0)</f>
        <v>790</v>
      </c>
      <c r="E34" s="2">
        <v>20</v>
      </c>
      <c r="F34" s="2">
        <f>MAX(0,E34-D34)</f>
        <v>0</v>
      </c>
      <c r="G34" s="2">
        <f>IFERROR(MAX(E34-D34,ROUNDUP(SUMIF(Sales_Entry!D:D,A34,Sales_Entry!G:G)/90*30,0)),0)</f>
        <v>0</v>
      </c>
      <c r="H34" s="18" t="str">
        <f>IF(D34=0,"CRITICAL",IF(D34&lt;E34/2,"HIGH",IF(D34&lt;E34,"MEDIUM","OK")))</f>
        <v>OK</v>
      </c>
    </row>
    <row r="35" spans="1:8" ht="19.5" customHeight="1">
      <c r="A35" s="15" t="s">
        <v>172</v>
      </c>
      <c r="B35" s="8" t="s">
        <v>173</v>
      </c>
      <c r="C35" s="5" t="s">
        <v>174</v>
      </c>
      <c r="D35" s="5">
        <f>IFERROR(SUMIF(Purchase_Entry!C:C,A35,Purchase_Entry!F:F)-SUMIF(Sales_Entry!D:D,A35,Sales_Entry!G:G),0)</f>
        <v>0</v>
      </c>
      <c r="E35" s="5">
        <v>200</v>
      </c>
      <c r="F35" s="5">
        <f>MAX(0,E35-D35)</f>
        <v>200</v>
      </c>
      <c r="G35" s="5">
        <f>IFERROR(MAX(E35-D35,ROUNDUP(SUMIF(Sales_Entry!D:D,A35,Sales_Entry!G:G)/90*30,0)),0)</f>
        <v>200</v>
      </c>
      <c r="H35" s="17" t="str">
        <f>IF(D35=0,"CRITICAL",IF(D35&lt;E35/2,"HIGH",IF(D35&lt;E35,"MEDIUM","OK")))</f>
        <v>CRITICAL</v>
      </c>
    </row>
    <row r="36" spans="1:8" ht="19.5" customHeight="1">
      <c r="A36" s="16" t="s">
        <v>175</v>
      </c>
      <c r="B36" s="9" t="s">
        <v>176</v>
      </c>
      <c r="C36" s="2" t="s">
        <v>174</v>
      </c>
      <c r="D36" s="2">
        <f>IFERROR(SUMIF(Purchase_Entry!C:C,A36,Purchase_Entry!F:F)-SUMIF(Sales_Entry!D:D,A36,Sales_Entry!G:G),0)</f>
        <v>348</v>
      </c>
      <c r="E36" s="2">
        <v>200</v>
      </c>
      <c r="F36" s="2">
        <f>MAX(0,E36-D36)</f>
        <v>0</v>
      </c>
      <c r="G36" s="2">
        <f>IFERROR(MAX(E36-D36,ROUNDUP(SUMIF(Sales_Entry!D:D,A36,Sales_Entry!G:G)/90*30,0)),0)</f>
        <v>12</v>
      </c>
      <c r="H36" s="18" t="str">
        <f>IF(D36=0,"CRITICAL",IF(D36&lt;E36/2,"HIGH",IF(D36&lt;E36,"MEDIUM","OK")))</f>
        <v>OK</v>
      </c>
    </row>
    <row r="37" spans="1:8" ht="19.5" customHeight="1">
      <c r="A37" s="15" t="s">
        <v>177</v>
      </c>
      <c r="B37" s="8" t="s">
        <v>178</v>
      </c>
      <c r="C37" s="5" t="s">
        <v>174</v>
      </c>
      <c r="D37" s="5">
        <f>IFERROR(SUMIF(Purchase_Entry!C:C,A37,Purchase_Entry!F:F)-SUMIF(Sales_Entry!D:D,A37,Sales_Entry!G:G),0)</f>
        <v>0</v>
      </c>
      <c r="E37" s="5">
        <v>150</v>
      </c>
      <c r="F37" s="5">
        <f>MAX(0,E37-D37)</f>
        <v>150</v>
      </c>
      <c r="G37" s="5">
        <f>IFERROR(MAX(E37-D37,ROUNDUP(SUMIF(Sales_Entry!D:D,A37,Sales_Entry!G:G)/90*30,0)),0)</f>
        <v>150</v>
      </c>
      <c r="H37" s="17" t="str">
        <f>IF(D37=0,"CRITICAL",IF(D37&lt;E37/2,"HIGH",IF(D37&lt;E37,"MEDIUM","OK")))</f>
        <v>CRITICAL</v>
      </c>
    </row>
    <row r="38" spans="1:8" ht="19.5" customHeight="1">
      <c r="A38" s="16" t="s">
        <v>179</v>
      </c>
      <c r="B38" s="9" t="s">
        <v>180</v>
      </c>
      <c r="C38" s="2" t="s">
        <v>174</v>
      </c>
      <c r="D38" s="2">
        <f>IFERROR(SUMIF(Purchase_Entry!C:C,A38,Purchase_Entry!F:F)-SUMIF(Sales_Entry!D:D,A38,Sales_Entry!G:G),0)</f>
        <v>72</v>
      </c>
      <c r="E38" s="2">
        <v>130</v>
      </c>
      <c r="F38" s="2">
        <f>MAX(0,E38-D38)</f>
        <v>58</v>
      </c>
      <c r="G38" s="2">
        <f>IFERROR(MAX(E38-D38,ROUNDUP(SUMIF(Sales_Entry!D:D,A38,Sales_Entry!G:G)/90*30,0)),0)</f>
        <v>58</v>
      </c>
      <c r="H38" s="18" t="str">
        <f>IF(D38=0,"CRITICAL",IF(D38&lt;E38/2,"HIGH",IF(D38&lt;E38,"MEDIUM","OK")))</f>
        <v>MEDIUM</v>
      </c>
    </row>
    <row r="39" spans="1:8" ht="19.5" customHeight="1">
      <c r="A39" s="15" t="s">
        <v>181</v>
      </c>
      <c r="B39" s="8" t="s">
        <v>182</v>
      </c>
      <c r="C39" s="5" t="s">
        <v>174</v>
      </c>
      <c r="D39" s="5">
        <f>IFERROR(SUMIF(Purchase_Entry!C:C,A39,Purchase_Entry!F:F)-SUMIF(Sales_Entry!D:D,A39,Sales_Entry!G:G),0)</f>
        <v>397</v>
      </c>
      <c r="E39" s="5">
        <v>100</v>
      </c>
      <c r="F39" s="5">
        <f>MAX(0,E39-D39)</f>
        <v>0</v>
      </c>
      <c r="G39" s="5">
        <f>IFERROR(MAX(E39-D39,ROUNDUP(SUMIF(Sales_Entry!D:D,A39,Sales_Entry!G:G)/90*30,0)),0)</f>
        <v>16</v>
      </c>
      <c r="H39" s="17" t="str">
        <f>IF(D39=0,"CRITICAL",IF(D39&lt;E39/2,"HIGH",IF(D39&lt;E39,"MEDIUM","OK")))</f>
        <v>OK</v>
      </c>
    </row>
    <row r="40" spans="1:8" ht="19.5" customHeight="1">
      <c r="A40" s="16" t="s">
        <v>183</v>
      </c>
      <c r="B40" s="9" t="s">
        <v>184</v>
      </c>
      <c r="C40" s="2" t="s">
        <v>174</v>
      </c>
      <c r="D40" s="2">
        <f>IFERROR(SUMIF(Purchase_Entry!C:C,A40,Purchase_Entry!F:F)-SUMIF(Sales_Entry!D:D,A40,Sales_Entry!G:G),0)</f>
        <v>0</v>
      </c>
      <c r="E40" s="2">
        <v>120</v>
      </c>
      <c r="F40" s="2">
        <f>MAX(0,E40-D40)</f>
        <v>120</v>
      </c>
      <c r="G40" s="2">
        <f>IFERROR(MAX(E40-D40,ROUNDUP(SUMIF(Sales_Entry!D:D,A40,Sales_Entry!G:G)/90*30,0)),0)</f>
        <v>120</v>
      </c>
      <c r="H40" s="18" t="str">
        <f>IF(D40=0,"CRITICAL",IF(D40&lt;E40/2,"HIGH",IF(D40&lt;E40,"MEDIUM","OK")))</f>
        <v>CRITICAL</v>
      </c>
    </row>
    <row r="41" spans="1:8" ht="19.5" customHeight="1">
      <c r="A41" s="15" t="s">
        <v>185</v>
      </c>
      <c r="B41" s="8" t="s">
        <v>186</v>
      </c>
      <c r="C41" s="5" t="s">
        <v>187</v>
      </c>
      <c r="D41" s="5">
        <f>IFERROR(SUMIF(Purchase_Entry!C:C,A41,Purchase_Entry!F:F)-SUMIF(Sales_Entry!D:D,A41,Sales_Entry!G:G),0)</f>
        <v>0</v>
      </c>
      <c r="E41" s="5">
        <v>200</v>
      </c>
      <c r="F41" s="5">
        <f>MAX(0,E41-D41)</f>
        <v>200</v>
      </c>
      <c r="G41" s="5">
        <f>IFERROR(MAX(E41-D41,ROUNDUP(SUMIF(Sales_Entry!D:D,A41,Sales_Entry!G:G)/90*30,0)),0)</f>
        <v>200</v>
      </c>
      <c r="H41" s="17" t="str">
        <f>IF(D41=0,"CRITICAL",IF(D41&lt;E41/2,"HIGH",IF(D41&lt;E41,"MEDIUM","OK")))</f>
        <v>CRITICAL</v>
      </c>
    </row>
    <row r="42" spans="1:8" ht="19.5" customHeight="1">
      <c r="A42" s="16" t="s">
        <v>188</v>
      </c>
      <c r="B42" s="9" t="s">
        <v>189</v>
      </c>
      <c r="C42" s="2" t="s">
        <v>187</v>
      </c>
      <c r="D42" s="2">
        <f>IFERROR(SUMIF(Purchase_Entry!C:C,A42,Purchase_Entry!F:F)-SUMIF(Sales_Entry!D:D,A42,Sales_Entry!G:G),0)</f>
        <v>195</v>
      </c>
      <c r="E42" s="2">
        <v>150</v>
      </c>
      <c r="F42" s="2">
        <f>MAX(0,E42-D42)</f>
        <v>0</v>
      </c>
      <c r="G42" s="2">
        <f>IFERROR(MAX(E42-D42,ROUNDUP(SUMIF(Sales_Entry!D:D,A42,Sales_Entry!G:G)/90*30,0)),0)</f>
        <v>2</v>
      </c>
      <c r="H42" s="18" t="str">
        <f>IF(D42=0,"CRITICAL",IF(D42&lt;E42/2,"HIGH",IF(D42&lt;E42,"MEDIUM","OK")))</f>
        <v>OK</v>
      </c>
    </row>
    <row r="43" spans="1:8" ht="19.5" customHeight="1">
      <c r="A43" s="15" t="s">
        <v>190</v>
      </c>
      <c r="B43" s="8" t="s">
        <v>191</v>
      </c>
      <c r="C43" s="5" t="s">
        <v>187</v>
      </c>
      <c r="D43" s="5">
        <f>IFERROR(SUMIF(Purchase_Entry!C:C,A43,Purchase_Entry!F:F)-SUMIF(Sales_Entry!D:D,A43,Sales_Entry!G:G),0)</f>
        <v>0</v>
      </c>
      <c r="E43" s="5">
        <v>100</v>
      </c>
      <c r="F43" s="5">
        <f>MAX(0,E43-D43)</f>
        <v>100</v>
      </c>
      <c r="G43" s="5">
        <f>IFERROR(MAX(E43-D43,ROUNDUP(SUMIF(Sales_Entry!D:D,A43,Sales_Entry!G:G)/90*30,0)),0)</f>
        <v>100</v>
      </c>
      <c r="H43" s="17" t="str">
        <f>IF(D43=0,"CRITICAL",IF(D43&lt;E43/2,"HIGH",IF(D43&lt;E43,"MEDIUM","OK")))</f>
        <v>CRITICAL</v>
      </c>
    </row>
    <row r="44" spans="1:8" ht="19.5" customHeight="1">
      <c r="A44" s="16" t="s">
        <v>192</v>
      </c>
      <c r="B44" s="9" t="s">
        <v>193</v>
      </c>
      <c r="C44" s="2" t="s">
        <v>187</v>
      </c>
      <c r="D44" s="2">
        <f>IFERROR(SUMIF(Purchase_Entry!C:C,A44,Purchase_Entry!F:F)-SUMIF(Sales_Entry!D:D,A44,Sales_Entry!G:G),0)</f>
        <v>156</v>
      </c>
      <c r="E44" s="2">
        <v>200</v>
      </c>
      <c r="F44" s="2">
        <f>MAX(0,E44-D44)</f>
        <v>44</v>
      </c>
      <c r="G44" s="2">
        <f>IFERROR(MAX(E44-D44,ROUNDUP(SUMIF(Sales_Entry!D:D,A44,Sales_Entry!G:G)/90*30,0)),0)</f>
        <v>44</v>
      </c>
      <c r="H44" s="18" t="str">
        <f>IF(D44=0,"CRITICAL",IF(D44&lt;E44/2,"HIGH",IF(D44&lt;E44,"MEDIUM","OK")))</f>
        <v>MEDIUM</v>
      </c>
    </row>
    <row r="45" spans="1:8" ht="19.5" customHeight="1">
      <c r="A45" s="15" t="s">
        <v>194</v>
      </c>
      <c r="B45" s="8" t="s">
        <v>195</v>
      </c>
      <c r="C45" s="5" t="s">
        <v>187</v>
      </c>
      <c r="D45" s="5">
        <f>IFERROR(SUMIF(Purchase_Entry!C:C,A45,Purchase_Entry!F:F)-SUMIF(Sales_Entry!D:D,A45,Sales_Entry!G:G),0)</f>
        <v>86</v>
      </c>
      <c r="E45" s="5">
        <v>100</v>
      </c>
      <c r="F45" s="5">
        <f>MAX(0,E45-D45)</f>
        <v>14</v>
      </c>
      <c r="G45" s="5">
        <f>IFERROR(MAX(E45-D45,ROUNDUP(SUMIF(Sales_Entry!D:D,A45,Sales_Entry!G:G)/90*30,0)),0)</f>
        <v>14</v>
      </c>
      <c r="H45" s="17" t="str">
        <f>IF(D45=0,"CRITICAL",IF(D45&lt;E45/2,"HIGH",IF(D45&lt;E45,"MEDIUM","OK")))</f>
        <v>MEDIUM</v>
      </c>
    </row>
    <row r="46" spans="1:8" ht="19.5" customHeight="1">
      <c r="A46" s="16" t="s">
        <v>196</v>
      </c>
      <c r="B46" s="9" t="s">
        <v>197</v>
      </c>
      <c r="C46" s="2" t="s">
        <v>198</v>
      </c>
      <c r="D46" s="2">
        <f>IFERROR(SUMIF(Purchase_Entry!C:C,A46,Purchase_Entry!F:F)-SUMIF(Sales_Entry!D:D,A46,Sales_Entry!G:G),0)</f>
        <v>-6</v>
      </c>
      <c r="E46" s="2">
        <v>40</v>
      </c>
      <c r="F46" s="2">
        <f>MAX(0,E46-D46)</f>
        <v>46</v>
      </c>
      <c r="G46" s="2">
        <f>IFERROR(MAX(E46-D46,ROUNDUP(SUMIF(Sales_Entry!D:D,A46,Sales_Entry!G:G)/90*30,0)),0)</f>
        <v>46</v>
      </c>
      <c r="H46" s="18" t="str">
        <f>IF(D46=0,"CRITICAL",IF(D46&lt;E46/2,"HIGH",IF(D46&lt;E46,"MEDIUM","OK")))</f>
        <v>HIGH</v>
      </c>
    </row>
    <row r="47" spans="1:8" ht="19.5" customHeight="1">
      <c r="A47" s="15" t="s">
        <v>200</v>
      </c>
      <c r="B47" s="8" t="s">
        <v>201</v>
      </c>
      <c r="C47" s="5" t="s">
        <v>198</v>
      </c>
      <c r="D47" s="5">
        <f>IFERROR(SUMIF(Purchase_Entry!C:C,A47,Purchase_Entry!F:F)-SUMIF(Sales_Entry!D:D,A47,Sales_Entry!G:G),0)</f>
        <v>629</v>
      </c>
      <c r="E47" s="5">
        <v>40</v>
      </c>
      <c r="F47" s="5">
        <f>MAX(0,E47-D47)</f>
        <v>0</v>
      </c>
      <c r="G47" s="5">
        <f>IFERROR(MAX(E47-D47,ROUNDUP(SUMIF(Sales_Entry!D:D,A47,Sales_Entry!G:G)/90*30,0)),0)</f>
        <v>0</v>
      </c>
      <c r="H47" s="17" t="str">
        <f>IF(D47=0,"CRITICAL",IF(D47&lt;E47/2,"HIGH",IF(D47&lt;E47,"MEDIUM","OK")))</f>
        <v>OK</v>
      </c>
    </row>
    <row r="48" spans="1:8" ht="19.5" customHeight="1">
      <c r="A48" s="16" t="s">
        <v>202</v>
      </c>
      <c r="B48" s="9" t="s">
        <v>203</v>
      </c>
      <c r="C48" s="2" t="s">
        <v>198</v>
      </c>
      <c r="D48" s="2">
        <f>IFERROR(SUMIF(Purchase_Entry!C:C,A48,Purchase_Entry!F:F)-SUMIF(Sales_Entry!D:D,A48,Sales_Entry!G:G),0)</f>
        <v>749</v>
      </c>
      <c r="E48" s="2">
        <v>50</v>
      </c>
      <c r="F48" s="2">
        <f>MAX(0,E48-D48)</f>
        <v>0</v>
      </c>
      <c r="G48" s="2">
        <f>IFERROR(MAX(E48-D48,ROUNDUP(SUMIF(Sales_Entry!D:D,A48,Sales_Entry!G:G)/90*30,0)),0)</f>
        <v>0</v>
      </c>
      <c r="H48" s="18" t="str">
        <f>IF(D48=0,"CRITICAL",IF(D48&lt;E48/2,"HIGH",IF(D48&lt;E48,"MEDIUM","OK")))</f>
        <v>OK</v>
      </c>
    </row>
    <row r="49" spans="1:8" ht="19.5" customHeight="1">
      <c r="A49" s="15" t="s">
        <v>204</v>
      </c>
      <c r="B49" s="8" t="s">
        <v>205</v>
      </c>
      <c r="C49" s="5" t="s">
        <v>198</v>
      </c>
      <c r="D49" s="5">
        <f>IFERROR(SUMIF(Purchase_Entry!C:C,A49,Purchase_Entry!F:F)-SUMIF(Sales_Entry!D:D,A49,Sales_Entry!G:G),0)</f>
        <v>457</v>
      </c>
      <c r="E49" s="5">
        <v>60</v>
      </c>
      <c r="F49" s="5">
        <f>MAX(0,E49-D49)</f>
        <v>0</v>
      </c>
      <c r="G49" s="5">
        <f>IFERROR(MAX(E49-D49,ROUNDUP(SUMIF(Sales_Entry!D:D,A49,Sales_Entry!G:G)/90*30,0)),0)</f>
        <v>0</v>
      </c>
      <c r="H49" s="17" t="str">
        <f>IF(D49=0,"CRITICAL",IF(D49&lt;E49/2,"HIGH",IF(D49&lt;E49,"MEDIUM","OK")))</f>
        <v>OK</v>
      </c>
    </row>
    <row r="50" spans="1:8" ht="19.5" customHeight="1">
      <c r="A50" s="16" t="s">
        <v>206</v>
      </c>
      <c r="B50" s="9" t="s">
        <v>207</v>
      </c>
      <c r="C50" s="2" t="s">
        <v>198</v>
      </c>
      <c r="D50" s="2">
        <f>IFERROR(SUMIF(Purchase_Entry!C:C,A50,Purchase_Entry!F:F)-SUMIF(Sales_Entry!D:D,A50,Sales_Entry!G:G),0)</f>
        <v>0</v>
      </c>
      <c r="E50" s="2">
        <v>40</v>
      </c>
      <c r="F50" s="2">
        <f>MAX(0,E50-D50)</f>
        <v>40</v>
      </c>
      <c r="G50" s="2">
        <f>IFERROR(MAX(E50-D50,ROUNDUP(SUMIF(Sales_Entry!D:D,A50,Sales_Entry!G:G)/90*30,0)),0)</f>
        <v>40</v>
      </c>
      <c r="H50" s="18" t="str">
        <f>IF(D50=0,"CRITICAL",IF(D50&lt;E50/2,"HIGH",IF(D50&lt;E50,"MEDIUM","OK")))</f>
        <v>CRITICAL</v>
      </c>
    </row>
    <row r="51" spans="1:8" ht="19.5" customHeight="1">
      <c r="A51" s="15" t="s">
        <v>209</v>
      </c>
      <c r="B51" s="8" t="s">
        <v>210</v>
      </c>
      <c r="C51" s="5" t="s">
        <v>211</v>
      </c>
      <c r="D51" s="5">
        <f>IFERROR(SUMIF(Purchase_Entry!C:C,A51,Purchase_Entry!F:F)-SUMIF(Sales_Entry!D:D,A51,Sales_Entry!G:G),0)</f>
        <v>684</v>
      </c>
      <c r="E51" s="5">
        <v>80</v>
      </c>
      <c r="F51" s="5">
        <f>MAX(0,E51-D51)</f>
        <v>0</v>
      </c>
      <c r="G51" s="5">
        <f>IFERROR(MAX(E51-D51,ROUNDUP(SUMIF(Sales_Entry!D:D,A51,Sales_Entry!G:G)/90*30,0)),0)</f>
        <v>0</v>
      </c>
      <c r="H51" s="17" t="str">
        <f>IF(D51=0,"CRITICAL",IF(D51&lt;E51/2,"HIGH",IF(D51&lt;E51,"MEDIUM","OK")))</f>
        <v>OK</v>
      </c>
    </row>
    <row r="52" spans="1:8" ht="19.5" customHeight="1">
      <c r="A52" s="16" t="s">
        <v>213</v>
      </c>
      <c r="B52" s="9" t="s">
        <v>214</v>
      </c>
      <c r="C52" s="2" t="s">
        <v>211</v>
      </c>
      <c r="D52" s="2">
        <f>IFERROR(SUMIF(Purchase_Entry!C:C,A52,Purchase_Entry!F:F)-SUMIF(Sales_Entry!D:D,A52,Sales_Entry!G:G),0)</f>
        <v>345</v>
      </c>
      <c r="E52" s="2">
        <v>80</v>
      </c>
      <c r="F52" s="2">
        <f>MAX(0,E52-D52)</f>
        <v>0</v>
      </c>
      <c r="G52" s="2">
        <f>IFERROR(MAX(E52-D52,ROUNDUP(SUMIF(Sales_Entry!D:D,A52,Sales_Entry!G:G)/90*30,0)),0)</f>
        <v>0</v>
      </c>
      <c r="H52" s="18" t="str">
        <f>IF(D52=0,"CRITICAL",IF(D52&lt;E52/2,"HIGH",IF(D52&lt;E52,"MEDIUM","OK")))</f>
        <v>OK</v>
      </c>
    </row>
    <row r="53" spans="1:8" ht="19.5" customHeight="1">
      <c r="A53" s="15" t="s">
        <v>215</v>
      </c>
      <c r="B53" s="8" t="s">
        <v>216</v>
      </c>
      <c r="C53" s="5" t="s">
        <v>211</v>
      </c>
      <c r="D53" s="5">
        <f>IFERROR(SUMIF(Purchase_Entry!C:C,A53,Purchase_Entry!F:F)-SUMIF(Sales_Entry!D:D,A53,Sales_Entry!G:G),0)</f>
        <v>151</v>
      </c>
      <c r="E53" s="5">
        <v>100</v>
      </c>
      <c r="F53" s="5">
        <f>MAX(0,E53-D53)</f>
        <v>0</v>
      </c>
      <c r="G53" s="5">
        <f>IFERROR(MAX(E53-D53,ROUNDUP(SUMIF(Sales_Entry!D:D,A53,Sales_Entry!G:G)/90*30,0)),0)</f>
        <v>13</v>
      </c>
      <c r="H53" s="17" t="str">
        <f>IF(D53=0,"CRITICAL",IF(D53&lt;E53/2,"HIGH",IF(D53&lt;E53,"MEDIUM","OK")))</f>
        <v>OK</v>
      </c>
    </row>
    <row r="54" spans="1:8" ht="19.5" customHeight="1">
      <c r="A54" s="16" t="s">
        <v>217</v>
      </c>
      <c r="B54" s="9" t="s">
        <v>35</v>
      </c>
      <c r="C54" s="2" t="s">
        <v>211</v>
      </c>
      <c r="D54" s="2">
        <f>IFERROR(SUMIF(Purchase_Entry!C:C,A54,Purchase_Entry!F:F)-SUMIF(Sales_Entry!D:D,A54,Sales_Entry!G:G),0)</f>
        <v>1045</v>
      </c>
      <c r="E54" s="2">
        <v>80</v>
      </c>
      <c r="F54" s="2">
        <f>MAX(0,E54-D54)</f>
        <v>0</v>
      </c>
      <c r="G54" s="2">
        <f>IFERROR(MAX(E54-D54,ROUNDUP(SUMIF(Sales_Entry!D:D,A54,Sales_Entry!G:G)/90*30,0)),0)</f>
        <v>32</v>
      </c>
      <c r="H54" s="18" t="str">
        <f>IF(D54=0,"CRITICAL",IF(D54&lt;E54/2,"HIGH",IF(D54&lt;E54,"MEDIUM","OK")))</f>
        <v>OK</v>
      </c>
    </row>
    <row r="55" spans="1:8" ht="19.5" customHeight="1">
      <c r="A55" s="15" t="s">
        <v>218</v>
      </c>
      <c r="B55" s="8" t="s">
        <v>219</v>
      </c>
      <c r="C55" s="5" t="s">
        <v>211</v>
      </c>
      <c r="D55" s="5">
        <f>IFERROR(SUMIF(Purchase_Entry!C:C,A55,Purchase_Entry!F:F)-SUMIF(Sales_Entry!D:D,A55,Sales_Entry!G:G),0)</f>
        <v>0</v>
      </c>
      <c r="E55" s="5">
        <v>100</v>
      </c>
      <c r="F55" s="5">
        <f>MAX(0,E55-D55)</f>
        <v>100</v>
      </c>
      <c r="G55" s="5">
        <f>IFERROR(MAX(E55-D55,ROUNDUP(SUMIF(Sales_Entry!D:D,A55,Sales_Entry!G:G)/90*30,0)),0)</f>
        <v>100</v>
      </c>
      <c r="H55" s="17" t="str">
        <f>IF(D55=0,"CRITICAL",IF(D55&lt;E55/2,"HIGH",IF(D55&lt;E55,"MEDIUM","OK")))</f>
        <v>CRITICAL</v>
      </c>
    </row>
    <row r="56" spans="1:8" ht="19.5" customHeight="1">
      <c r="A56" s="16" t="s">
        <v>220</v>
      </c>
      <c r="B56" s="9" t="s">
        <v>221</v>
      </c>
      <c r="C56" s="2" t="s">
        <v>211</v>
      </c>
      <c r="D56" s="2">
        <f>IFERROR(SUMIF(Purchase_Entry!C:C,A56,Purchase_Entry!F:F)-SUMIF(Sales_Entry!D:D,A56,Sales_Entry!G:G),0)</f>
        <v>73</v>
      </c>
      <c r="E56" s="2">
        <v>80</v>
      </c>
      <c r="F56" s="2">
        <f>MAX(0,E56-D56)</f>
        <v>7</v>
      </c>
      <c r="G56" s="2">
        <f>IFERROR(MAX(E56-D56,ROUNDUP(SUMIF(Sales_Entry!D:D,A56,Sales_Entry!G:G)/90*30,0)),0)</f>
        <v>7</v>
      </c>
      <c r="H56" s="18" t="str">
        <f>IF(D56=0,"CRITICAL",IF(D56&lt;E56/2,"HIGH",IF(D56&lt;E56,"MEDIUM","OK")))</f>
        <v>MEDIUM</v>
      </c>
    </row>
    <row r="57" spans="1:8" ht="19.5" customHeight="1">
      <c r="A57" s="15" t="s">
        <v>222</v>
      </c>
      <c r="B57" s="8" t="s">
        <v>223</v>
      </c>
      <c r="C57" s="5" t="s">
        <v>224</v>
      </c>
      <c r="D57" s="5">
        <f>IFERROR(SUMIF(Purchase_Entry!C:C,A57,Purchase_Entry!F:F)-SUMIF(Sales_Entry!D:D,A57,Sales_Entry!G:G),0)</f>
        <v>0</v>
      </c>
      <c r="E57" s="5">
        <v>60</v>
      </c>
      <c r="F57" s="5">
        <f>MAX(0,E57-D57)</f>
        <v>60</v>
      </c>
      <c r="G57" s="5">
        <f>IFERROR(MAX(E57-D57,ROUNDUP(SUMIF(Sales_Entry!D:D,A57,Sales_Entry!G:G)/90*30,0)),0)</f>
        <v>60</v>
      </c>
      <c r="H57" s="17" t="str">
        <f>IF(D57=0,"CRITICAL",IF(D57&lt;E57/2,"HIGH",IF(D57&lt;E57,"MEDIUM","OK")))</f>
        <v>CRITICAL</v>
      </c>
    </row>
    <row r="58" spans="1:8" ht="19.5" customHeight="1">
      <c r="A58" s="16" t="s">
        <v>226</v>
      </c>
      <c r="B58" s="9" t="s">
        <v>227</v>
      </c>
      <c r="C58" s="2" t="s">
        <v>224</v>
      </c>
      <c r="D58" s="2">
        <f>IFERROR(SUMIF(Purchase_Entry!C:C,A58,Purchase_Entry!F:F)-SUMIF(Sales_Entry!D:D,A58,Sales_Entry!G:G),0)</f>
        <v>75</v>
      </c>
      <c r="E58" s="2">
        <v>80</v>
      </c>
      <c r="F58" s="2">
        <f>MAX(0,E58-D58)</f>
        <v>5</v>
      </c>
      <c r="G58" s="2">
        <f>IFERROR(MAX(E58-D58,ROUNDUP(SUMIF(Sales_Entry!D:D,A58,Sales_Entry!G:G)/90*30,0)),0)</f>
        <v>12</v>
      </c>
      <c r="H58" s="18" t="str">
        <f>IF(D58=0,"CRITICAL",IF(D58&lt;E58/2,"HIGH",IF(D58&lt;E58,"MEDIUM","OK")))</f>
        <v>MEDIUM</v>
      </c>
    </row>
    <row r="59" spans="1:8" ht="19.5" customHeight="1">
      <c r="A59" s="15" t="s">
        <v>229</v>
      </c>
      <c r="B59" s="8" t="s">
        <v>230</v>
      </c>
      <c r="C59" s="5" t="s">
        <v>224</v>
      </c>
      <c r="D59" s="5">
        <f>IFERROR(SUMIF(Purchase_Entry!C:C,A59,Purchase_Entry!F:F)-SUMIF(Sales_Entry!D:D,A59,Sales_Entry!G:G),0)</f>
        <v>357</v>
      </c>
      <c r="E59" s="5">
        <v>80</v>
      </c>
      <c r="F59" s="5">
        <f>MAX(0,E59-D59)</f>
        <v>0</v>
      </c>
      <c r="G59" s="5">
        <f>IFERROR(MAX(E59-D59,ROUNDUP(SUMIF(Sales_Entry!D:D,A59,Sales_Entry!G:G)/90*30,0)),0)</f>
        <v>16</v>
      </c>
      <c r="H59" s="17" t="str">
        <f>IF(D59=0,"CRITICAL",IF(D59&lt;E59/2,"HIGH",IF(D59&lt;E59,"MEDIUM","OK")))</f>
        <v>OK</v>
      </c>
    </row>
    <row r="60" spans="1:8" ht="19.5" customHeight="1">
      <c r="A60" s="16" t="s">
        <v>231</v>
      </c>
      <c r="B60" s="9" t="s">
        <v>232</v>
      </c>
      <c r="C60" s="2" t="s">
        <v>224</v>
      </c>
      <c r="D60" s="2">
        <f>IFERROR(SUMIF(Purchase_Entry!C:C,A60,Purchase_Entry!F:F)-SUMIF(Sales_Entry!D:D,A60,Sales_Entry!G:G),0)</f>
        <v>281</v>
      </c>
      <c r="E60" s="2">
        <v>60</v>
      </c>
      <c r="F60" s="2">
        <f>MAX(0,E60-D60)</f>
        <v>0</v>
      </c>
      <c r="G60" s="2">
        <f>IFERROR(MAX(E60-D60,ROUNDUP(SUMIF(Sales_Entry!D:D,A60,Sales_Entry!G:G)/90*30,0)),0)</f>
        <v>11</v>
      </c>
      <c r="H60" s="18" t="str">
        <f>IF(D60=0,"CRITICAL",IF(D60&lt;E60/2,"HIGH",IF(D60&lt;E60,"MEDIUM","OK")))</f>
        <v>OK</v>
      </c>
    </row>
    <row r="61" spans="1:8" ht="19.5" customHeight="1">
      <c r="A61" s="15" t="s">
        <v>233</v>
      </c>
      <c r="B61" s="8" t="s">
        <v>234</v>
      </c>
      <c r="C61" s="5" t="s">
        <v>224</v>
      </c>
      <c r="D61" s="5">
        <f>IFERROR(SUMIF(Purchase_Entry!C:C,A61,Purchase_Entry!F:F)-SUMIF(Sales_Entry!D:D,A61,Sales_Entry!G:G),0)</f>
        <v>118</v>
      </c>
      <c r="E61" s="5">
        <v>50</v>
      </c>
      <c r="F61" s="5">
        <f>MAX(0,E61-D61)</f>
        <v>0</v>
      </c>
      <c r="G61" s="5">
        <f>IFERROR(MAX(E61-D61,ROUNDUP(SUMIF(Sales_Entry!D:D,A61,Sales_Entry!G:G)/90*30,0)),0)</f>
        <v>0</v>
      </c>
      <c r="H61" s="17" t="str">
        <f>IF(D61=0,"CRITICAL",IF(D61&lt;E61/2,"HIGH",IF(D61&lt;E61,"MEDIUM","OK")))</f>
        <v>OK</v>
      </c>
    </row>
    <row r="62" spans="1:8" ht="19.5" customHeight="1">
      <c r="A62" s="16" t="s">
        <v>235</v>
      </c>
      <c r="B62" s="9" t="s">
        <v>236</v>
      </c>
      <c r="C62" s="2" t="s">
        <v>224</v>
      </c>
      <c r="D62" s="2">
        <f>IFERROR(SUMIF(Purchase_Entry!C:C,A62,Purchase_Entry!F:F)-SUMIF(Sales_Entry!D:D,A62,Sales_Entry!G:G),0)</f>
        <v>0</v>
      </c>
      <c r="E62" s="2">
        <v>60</v>
      </c>
      <c r="F62" s="2">
        <f>MAX(0,E62-D62)</f>
        <v>60</v>
      </c>
      <c r="G62" s="2">
        <f>IFERROR(MAX(E62-D62,ROUNDUP(SUMIF(Sales_Entry!D:D,A62,Sales_Entry!G:G)/90*30,0)),0)</f>
        <v>60</v>
      </c>
      <c r="H62" s="18" t="str">
        <f>IF(D62=0,"CRITICAL",IF(D62&lt;E62/2,"HIGH",IF(D62&lt;E62,"MEDIUM","OK")))</f>
        <v>CRITICAL</v>
      </c>
    </row>
    <row r="63" spans="1:8" ht="19.5" customHeight="1">
      <c r="A63" s="15" t="s">
        <v>238</v>
      </c>
      <c r="B63" s="8" t="s">
        <v>239</v>
      </c>
      <c r="C63" s="5" t="s">
        <v>224</v>
      </c>
      <c r="D63" s="5">
        <f>IFERROR(SUMIF(Purchase_Entry!C:C,A63,Purchase_Entry!F:F)-SUMIF(Sales_Entry!D:D,A63,Sales_Entry!G:G),0)</f>
        <v>423</v>
      </c>
      <c r="E63" s="5">
        <v>80</v>
      </c>
      <c r="F63" s="5">
        <f>MAX(0,E63-D63)</f>
        <v>0</v>
      </c>
      <c r="G63" s="5">
        <f>IFERROR(MAX(E63-D63,ROUNDUP(SUMIF(Sales_Entry!D:D,A63,Sales_Entry!G:G)/90*30,0)),0)</f>
        <v>14</v>
      </c>
      <c r="H63" s="17" t="str">
        <f>IF(D63=0,"CRITICAL",IF(D63&lt;E63/2,"HIGH",IF(D63&lt;E63,"MEDIUM","OK")))</f>
        <v>OK</v>
      </c>
    </row>
    <row r="64" spans="1:8" ht="19.5" customHeight="1">
      <c r="A64" s="16" t="s">
        <v>240</v>
      </c>
      <c r="B64" s="9" t="s">
        <v>32</v>
      </c>
      <c r="C64" s="2" t="s">
        <v>97</v>
      </c>
      <c r="D64" s="2">
        <f>IFERROR(SUMIF(Purchase_Entry!C:C,A64,Purchase_Entry!F:F)-SUMIF(Sales_Entry!D:D,A64,Sales_Entry!G:G),0)</f>
        <v>88</v>
      </c>
      <c r="E64" s="2">
        <v>70</v>
      </c>
      <c r="F64" s="2">
        <f>MAX(0,E64-D64)</f>
        <v>0</v>
      </c>
      <c r="G64" s="2">
        <f>IFERROR(MAX(E64-D64,ROUNDUP(SUMIF(Sales_Entry!D:D,A64,Sales_Entry!G:G)/90*30,0)),0)</f>
        <v>29</v>
      </c>
      <c r="H64" s="18" t="str">
        <f>IF(D64=0,"CRITICAL",IF(D64&lt;E64/2,"HIGH",IF(D64&lt;E64,"MEDIUM","OK")))</f>
        <v>OK</v>
      </c>
    </row>
    <row r="65" spans="1:8" ht="19.5" customHeight="1">
      <c r="A65" s="15" t="s">
        <v>241</v>
      </c>
      <c r="B65" s="8" t="s">
        <v>242</v>
      </c>
      <c r="C65" s="5" t="s">
        <v>97</v>
      </c>
      <c r="D65" s="5">
        <f>IFERROR(SUMIF(Purchase_Entry!C:C,A65,Purchase_Entry!F:F)-SUMIF(Sales_Entry!D:D,A65,Sales_Entry!G:G),0)</f>
        <v>355</v>
      </c>
      <c r="E65" s="5">
        <v>50</v>
      </c>
      <c r="F65" s="5">
        <f>MAX(0,E65-D65)</f>
        <v>0</v>
      </c>
      <c r="G65" s="5">
        <f>IFERROR(MAX(E65-D65,ROUNDUP(SUMIF(Sales_Entry!D:D,A65,Sales_Entry!G:G)/90*30,0)),0)</f>
        <v>0</v>
      </c>
      <c r="H65" s="17" t="str">
        <f>IF(D65=0,"CRITICAL",IF(D65&lt;E65/2,"HIGH",IF(D65&lt;E65,"MEDIUM","OK")))</f>
        <v>OK</v>
      </c>
    </row>
    <row r="66" spans="1:8" ht="19.5" customHeight="1">
      <c r="A66" s="16" t="s">
        <v>243</v>
      </c>
      <c r="B66" s="9" t="s">
        <v>244</v>
      </c>
      <c r="C66" s="2" t="s">
        <v>97</v>
      </c>
      <c r="D66" s="2">
        <f>IFERROR(SUMIF(Purchase_Entry!C:C,A66,Purchase_Entry!F:F)-SUMIF(Sales_Entry!D:D,A66,Sales_Entry!G:G),0)</f>
        <v>264</v>
      </c>
      <c r="E66" s="2">
        <v>60</v>
      </c>
      <c r="F66" s="2">
        <f>MAX(0,E66-D66)</f>
        <v>0</v>
      </c>
      <c r="G66" s="2">
        <f>IFERROR(MAX(E66-D66,ROUNDUP(SUMIF(Sales_Entry!D:D,A66,Sales_Entry!G:G)/90*30,0)),0)</f>
        <v>2</v>
      </c>
      <c r="H66" s="18" t="str">
        <f>IF(D66=0,"CRITICAL",IF(D66&lt;E66/2,"HIGH",IF(D66&lt;E66,"MEDIUM","OK")))</f>
        <v>OK</v>
      </c>
    </row>
    <row r="67" spans="1:8" ht="19.5" customHeight="1">
      <c r="A67" s="15" t="s">
        <v>245</v>
      </c>
      <c r="B67" s="8" t="s">
        <v>246</v>
      </c>
      <c r="C67" s="5" t="s">
        <v>97</v>
      </c>
      <c r="D67" s="5">
        <f>IFERROR(SUMIF(Purchase_Entry!C:C,A67,Purchase_Entry!F:F)-SUMIF(Sales_Entry!D:D,A67,Sales_Entry!G:G),0)</f>
        <v>589</v>
      </c>
      <c r="E67" s="5">
        <v>50</v>
      </c>
      <c r="F67" s="5">
        <f>MAX(0,E67-D67)</f>
        <v>0</v>
      </c>
      <c r="G67" s="5">
        <f>IFERROR(MAX(E67-D67,ROUNDUP(SUMIF(Sales_Entry!D:D,A67,Sales_Entry!G:G)/90*30,0)),0)</f>
        <v>0</v>
      </c>
      <c r="H67" s="17" t="str">
        <f>IF(D67=0,"CRITICAL",IF(D67&lt;E67/2,"HIGH",IF(D67&lt;E67,"MEDIUM","OK")))</f>
        <v>OK</v>
      </c>
    </row>
    <row r="68" spans="1:8" ht="19.5" customHeight="1">
      <c r="A68" s="16" t="s">
        <v>247</v>
      </c>
      <c r="B68" s="9" t="s">
        <v>248</v>
      </c>
      <c r="C68" s="2" t="s">
        <v>97</v>
      </c>
      <c r="D68" s="2">
        <f>IFERROR(SUMIF(Purchase_Entry!C:C,A68,Purchase_Entry!F:F)-SUMIF(Sales_Entry!D:D,A68,Sales_Entry!G:G),0)</f>
        <v>93</v>
      </c>
      <c r="E68" s="2">
        <v>70</v>
      </c>
      <c r="F68" s="2">
        <f>MAX(0,E68-D68)</f>
        <v>0</v>
      </c>
      <c r="G68" s="2">
        <f>IFERROR(MAX(E68-D68,ROUNDUP(SUMIF(Sales_Entry!D:D,A68,Sales_Entry!G:G)/90*30,0)),0)</f>
        <v>12</v>
      </c>
      <c r="H68" s="18" t="str">
        <f>IF(D68=0,"CRITICAL",IF(D68&lt;E68/2,"HIGH",IF(D68&lt;E68,"MEDIUM","OK")))</f>
        <v>OK</v>
      </c>
    </row>
    <row r="69" spans="1:8" ht="19.5" customHeight="1">
      <c r="A69" s="15" t="s">
        <v>249</v>
      </c>
      <c r="B69" s="8" t="s">
        <v>250</v>
      </c>
      <c r="C69" s="5" t="s">
        <v>115</v>
      </c>
      <c r="D69" s="5">
        <f>IFERROR(SUMIF(Purchase_Entry!C:C,A69,Purchase_Entry!F:F)-SUMIF(Sales_Entry!D:D,A69,Sales_Entry!G:G),0)</f>
        <v>352</v>
      </c>
      <c r="E69" s="5">
        <v>100</v>
      </c>
      <c r="F69" s="5">
        <f>MAX(0,E69-D69)</f>
        <v>0</v>
      </c>
      <c r="G69" s="5">
        <f>IFERROR(MAX(E69-D69,ROUNDUP(SUMIF(Sales_Entry!D:D,A69,Sales_Entry!G:G)/90*30,0)),0)</f>
        <v>9</v>
      </c>
      <c r="H69" s="17" t="str">
        <f>IF(D69=0,"CRITICAL",IF(D69&lt;E69/2,"HIGH",IF(D69&lt;E69,"MEDIUM","OK")))</f>
        <v>OK</v>
      </c>
    </row>
    <row r="70" spans="1:8" ht="19.5" customHeight="1">
      <c r="A70" s="16" t="s">
        <v>251</v>
      </c>
      <c r="B70" s="9" t="s">
        <v>36</v>
      </c>
      <c r="C70" s="2" t="s">
        <v>115</v>
      </c>
      <c r="D70" s="2">
        <f>IFERROR(SUMIF(Purchase_Entry!C:C,A70,Purchase_Entry!F:F)-SUMIF(Sales_Entry!D:D,A70,Sales_Entry!G:G),0)</f>
        <v>74</v>
      </c>
      <c r="E70" s="2">
        <v>80</v>
      </c>
      <c r="F70" s="2">
        <f>MAX(0,E70-D70)</f>
        <v>6</v>
      </c>
      <c r="G70" s="2">
        <f>IFERROR(MAX(E70-D70,ROUNDUP(SUMIF(Sales_Entry!D:D,A70,Sales_Entry!G:G)/90*30,0)),0)</f>
        <v>35</v>
      </c>
      <c r="H70" s="18" t="str">
        <f>IF(D70=0,"CRITICAL",IF(D70&lt;E70/2,"HIGH",IF(D70&lt;E70,"MEDIUM","OK")))</f>
        <v>MEDIUM</v>
      </c>
    </row>
    <row r="71" spans="1:8" ht="19.5" customHeight="1">
      <c r="A71" s="15" t="s">
        <v>252</v>
      </c>
      <c r="B71" s="8" t="s">
        <v>253</v>
      </c>
      <c r="C71" s="5" t="s">
        <v>115</v>
      </c>
      <c r="D71" s="5">
        <f>IFERROR(SUMIF(Purchase_Entry!C:C,A71,Purchase_Entry!F:F)-SUMIF(Sales_Entry!D:D,A71,Sales_Entry!G:G),0)</f>
        <v>248</v>
      </c>
      <c r="E71" s="5">
        <v>100</v>
      </c>
      <c r="F71" s="5">
        <f>MAX(0,E71-D71)</f>
        <v>0</v>
      </c>
      <c r="G71" s="5">
        <f>IFERROR(MAX(E71-D71,ROUNDUP(SUMIF(Sales_Entry!D:D,A71,Sales_Entry!G:G)/90*30,0)),0)</f>
        <v>11</v>
      </c>
      <c r="H71" s="17" t="str">
        <f>IF(D71=0,"CRITICAL",IF(D71&lt;E71/2,"HIGH",IF(D71&lt;E71,"MEDIUM","OK")))</f>
        <v>OK</v>
      </c>
    </row>
    <row r="72" spans="1:8" ht="19.5" customHeight="1">
      <c r="A72" s="16" t="s">
        <v>254</v>
      </c>
      <c r="B72" s="9" t="s">
        <v>255</v>
      </c>
      <c r="C72" s="2" t="s">
        <v>133</v>
      </c>
      <c r="D72" s="2">
        <f>IFERROR(SUMIF(Purchase_Entry!C:C,A72,Purchase_Entry!F:F)-SUMIF(Sales_Entry!D:D,A72,Sales_Entry!G:G),0)</f>
        <v>527</v>
      </c>
      <c r="E72" s="2">
        <v>120</v>
      </c>
      <c r="F72" s="2">
        <f>MAX(0,E72-D72)</f>
        <v>0</v>
      </c>
      <c r="G72" s="2">
        <f>IFERROR(MAX(E72-D72,ROUNDUP(SUMIF(Sales_Entry!D:D,A72,Sales_Entry!G:G)/90*30,0)),0)</f>
        <v>0</v>
      </c>
      <c r="H72" s="18" t="str">
        <f>IF(D72=0,"CRITICAL",IF(D72&lt;E72/2,"HIGH",IF(D72&lt;E72,"MEDIUM","OK")))</f>
        <v>OK</v>
      </c>
    </row>
    <row r="73" spans="1:8" ht="19.5" customHeight="1">
      <c r="A73" s="15" t="s">
        <v>256</v>
      </c>
      <c r="B73" s="8" t="s">
        <v>257</v>
      </c>
      <c r="C73" s="5" t="s">
        <v>133</v>
      </c>
      <c r="D73" s="5">
        <f>IFERROR(SUMIF(Purchase_Entry!C:C,A73,Purchase_Entry!F:F)-SUMIF(Sales_Entry!D:D,A73,Sales_Entry!G:G),0)</f>
        <v>98</v>
      </c>
      <c r="E73" s="5">
        <v>70</v>
      </c>
      <c r="F73" s="5">
        <f>MAX(0,E73-D73)</f>
        <v>0</v>
      </c>
      <c r="G73" s="5">
        <f>IFERROR(MAX(E73-D73,ROUNDUP(SUMIF(Sales_Entry!D:D,A73,Sales_Entry!G:G)/90*30,0)),0)</f>
        <v>12</v>
      </c>
      <c r="H73" s="17" t="str">
        <f>IF(D73=0,"CRITICAL",IF(D73&lt;E73/2,"HIGH",IF(D73&lt;E73,"MEDIUM","OK")))</f>
        <v>OK</v>
      </c>
    </row>
    <row r="74" spans="1:8" ht="19.5" customHeight="1">
      <c r="A74" s="16" t="s">
        <v>258</v>
      </c>
      <c r="B74" s="9" t="s">
        <v>259</v>
      </c>
      <c r="C74" s="2" t="s">
        <v>133</v>
      </c>
      <c r="D74" s="2">
        <f>IFERROR(SUMIF(Purchase_Entry!C:C,A74,Purchase_Entry!F:F)-SUMIF(Sales_Entry!D:D,A74,Sales_Entry!G:G),0)</f>
        <v>138</v>
      </c>
      <c r="E74" s="2">
        <v>80</v>
      </c>
      <c r="F74" s="2">
        <f>MAX(0,E74-D74)</f>
        <v>0</v>
      </c>
      <c r="G74" s="2">
        <f>IFERROR(MAX(E74-D74,ROUNDUP(SUMIF(Sales_Entry!D:D,A74,Sales_Entry!G:G)/90*30,0)),0)</f>
        <v>5</v>
      </c>
      <c r="H74" s="18" t="str">
        <f>IF(D74=0,"CRITICAL",IF(D74&lt;E74/2,"HIGH",IF(D74&lt;E74,"MEDIUM","OK")))</f>
        <v>OK</v>
      </c>
    </row>
    <row r="75" spans="1:8" ht="19.5" customHeight="1">
      <c r="A75" s="15" t="s">
        <v>260</v>
      </c>
      <c r="B75" s="8" t="s">
        <v>261</v>
      </c>
      <c r="C75" s="5" t="s">
        <v>145</v>
      </c>
      <c r="D75" s="5">
        <f>IFERROR(SUMIF(Purchase_Entry!C:C,A75,Purchase_Entry!F:F)-SUMIF(Sales_Entry!D:D,A75,Sales_Entry!G:G),0)</f>
        <v>0</v>
      </c>
      <c r="E75" s="5">
        <v>120</v>
      </c>
      <c r="F75" s="5">
        <f>MAX(0,E75-D75)</f>
        <v>120</v>
      </c>
      <c r="G75" s="5">
        <f>IFERROR(MAX(E75-D75,ROUNDUP(SUMIF(Sales_Entry!D:D,A75,Sales_Entry!G:G)/90*30,0)),0)</f>
        <v>120</v>
      </c>
      <c r="H75" s="17" t="str">
        <f>IF(D75=0,"CRITICAL",IF(D75&lt;E75/2,"HIGH",IF(D75&lt;E75,"MEDIUM","OK")))</f>
        <v>CRITICAL</v>
      </c>
    </row>
    <row r="76" spans="1:8" ht="19.5" customHeight="1">
      <c r="A76" s="16" t="s">
        <v>262</v>
      </c>
      <c r="B76" s="9" t="s">
        <v>31</v>
      </c>
      <c r="C76" s="2" t="s">
        <v>145</v>
      </c>
      <c r="D76" s="2">
        <f>IFERROR(SUMIF(Purchase_Entry!C:C,A76,Purchase_Entry!F:F)-SUMIF(Sales_Entry!D:D,A76,Sales_Entry!G:G),0)</f>
        <v>273</v>
      </c>
      <c r="E76" s="2">
        <v>60</v>
      </c>
      <c r="F76" s="2">
        <f>MAX(0,E76-D76)</f>
        <v>0</v>
      </c>
      <c r="G76" s="2">
        <f>IFERROR(MAX(E76-D76,ROUNDUP(SUMIF(Sales_Entry!D:D,A76,Sales_Entry!G:G)/90*30,0)),0)</f>
        <v>24</v>
      </c>
      <c r="H76" s="18" t="str">
        <f>IF(D76=0,"CRITICAL",IF(D76&lt;E76/2,"HIGH",IF(D76&lt;E76,"MEDIUM","OK")))</f>
        <v>OK</v>
      </c>
    </row>
    <row r="77" spans="1:8" ht="19.5" customHeight="1">
      <c r="A77" s="15" t="s">
        <v>263</v>
      </c>
      <c r="B77" s="8" t="s">
        <v>264</v>
      </c>
      <c r="C77" s="5" t="s">
        <v>145</v>
      </c>
      <c r="D77" s="5">
        <f>IFERROR(SUMIF(Purchase_Entry!C:C,A77,Purchase_Entry!F:F)-SUMIF(Sales_Entry!D:D,A77,Sales_Entry!G:G),0)</f>
        <v>1270</v>
      </c>
      <c r="E77" s="5">
        <v>80</v>
      </c>
      <c r="F77" s="5">
        <f>MAX(0,E77-D77)</f>
        <v>0</v>
      </c>
      <c r="G77" s="5">
        <f>IFERROR(MAX(E77-D77,ROUNDUP(SUMIF(Sales_Entry!D:D,A77,Sales_Entry!G:G)/90*30,0)),0)</f>
        <v>10</v>
      </c>
      <c r="H77" s="17" t="str">
        <f>IF(D77=0,"CRITICAL",IF(D77&lt;E77/2,"HIGH",IF(D77&lt;E77,"MEDIUM","OK")))</f>
        <v>OK</v>
      </c>
    </row>
    <row r="78" spans="1:8" ht="19.5" customHeight="1">
      <c r="A78" s="16" t="s">
        <v>265</v>
      </c>
      <c r="B78" s="9" t="s">
        <v>266</v>
      </c>
      <c r="C78" s="2" t="s">
        <v>160</v>
      </c>
      <c r="D78" s="2">
        <f>IFERROR(SUMIF(Purchase_Entry!C:C,A78,Purchase_Entry!F:F)-SUMIF(Sales_Entry!D:D,A78,Sales_Entry!G:G),0)</f>
        <v>192</v>
      </c>
      <c r="E78" s="2">
        <v>70</v>
      </c>
      <c r="F78" s="2">
        <f>MAX(0,E78-D78)</f>
        <v>0</v>
      </c>
      <c r="G78" s="2">
        <f>IFERROR(MAX(E78-D78,ROUNDUP(SUMIF(Sales_Entry!D:D,A78,Sales_Entry!G:G)/90*30,0)),0)</f>
        <v>0</v>
      </c>
      <c r="H78" s="18" t="str">
        <f>IF(D78=0,"CRITICAL",IF(D78&lt;E78/2,"HIGH",IF(D78&lt;E78,"MEDIUM","OK")))</f>
        <v>OK</v>
      </c>
    </row>
    <row r="79" spans="1:8" ht="19.5" customHeight="1">
      <c r="A79" s="15" t="s">
        <v>267</v>
      </c>
      <c r="B79" s="8" t="s">
        <v>268</v>
      </c>
      <c r="C79" s="5" t="s">
        <v>160</v>
      </c>
      <c r="D79" s="5">
        <f>IFERROR(SUMIF(Purchase_Entry!C:C,A79,Purchase_Entry!F:F)-SUMIF(Sales_Entry!D:D,A79,Sales_Entry!G:G),0)</f>
        <v>0</v>
      </c>
      <c r="E79" s="5">
        <v>60</v>
      </c>
      <c r="F79" s="5">
        <f>MAX(0,E79-D79)</f>
        <v>60</v>
      </c>
      <c r="G79" s="5">
        <f>IFERROR(MAX(E79-D79,ROUNDUP(SUMIF(Sales_Entry!D:D,A79,Sales_Entry!G:G)/90*30,0)),0)</f>
        <v>60</v>
      </c>
      <c r="H79" s="17" t="str">
        <f>IF(D79=0,"CRITICAL",IF(D79&lt;E79/2,"HIGH",IF(D79&lt;E79,"MEDIUM","OK")))</f>
        <v>CRITICAL</v>
      </c>
    </row>
    <row r="80" spans="1:8" ht="19.5" customHeight="1">
      <c r="A80" s="16" t="s">
        <v>269</v>
      </c>
      <c r="B80" s="9" t="s">
        <v>270</v>
      </c>
      <c r="C80" s="2" t="s">
        <v>160</v>
      </c>
      <c r="D80" s="2">
        <f>IFERROR(SUMIF(Purchase_Entry!C:C,A80,Purchase_Entry!F:F)-SUMIF(Sales_Entry!D:D,A80,Sales_Entry!G:G),0)</f>
        <v>483</v>
      </c>
      <c r="E80" s="2">
        <v>30</v>
      </c>
      <c r="F80" s="2">
        <f>MAX(0,E80-D80)</f>
        <v>0</v>
      </c>
      <c r="G80" s="2">
        <f>IFERROR(MAX(E80-D80,ROUNDUP(SUMIF(Sales_Entry!D:D,A80,Sales_Entry!G:G)/90*30,0)),0)</f>
        <v>17</v>
      </c>
      <c r="H80" s="18" t="str">
        <f>IF(D80=0,"CRITICAL",IF(D80&lt;E80/2,"HIGH",IF(D80&lt;E80,"MEDIUM","OK")))</f>
        <v>OK</v>
      </c>
    </row>
    <row r="81" spans="1:8" ht="19.5" customHeight="1">
      <c r="A81" s="15" t="s">
        <v>271</v>
      </c>
      <c r="B81" s="8" t="s">
        <v>272</v>
      </c>
      <c r="C81" s="5" t="s">
        <v>174</v>
      </c>
      <c r="D81" s="5">
        <f>IFERROR(SUMIF(Purchase_Entry!C:C,A81,Purchase_Entry!F:F)-SUMIF(Sales_Entry!D:D,A81,Sales_Entry!G:G),0)</f>
        <v>138</v>
      </c>
      <c r="E81" s="5">
        <v>120</v>
      </c>
      <c r="F81" s="5">
        <f>MAX(0,E81-D81)</f>
        <v>0</v>
      </c>
      <c r="G81" s="5">
        <f>IFERROR(MAX(E81-D81,ROUNDUP(SUMIF(Sales_Entry!D:D,A81,Sales_Entry!G:G)/90*30,0)),0)</f>
        <v>13</v>
      </c>
      <c r="H81" s="17" t="str">
        <f>IF(D81=0,"CRITICAL",IF(D81&lt;E81/2,"HIGH",IF(D81&lt;E81,"MEDIUM","OK")))</f>
        <v>OK</v>
      </c>
    </row>
    <row r="82" spans="1:8" ht="19.5" customHeight="1">
      <c r="A82" s="16" t="s">
        <v>273</v>
      </c>
      <c r="B82" s="9" t="s">
        <v>274</v>
      </c>
      <c r="C82" s="2" t="s">
        <v>174</v>
      </c>
      <c r="D82" s="2">
        <f>IFERROR(SUMIF(Purchase_Entry!C:C,A82,Purchase_Entry!F:F)-SUMIF(Sales_Entry!D:D,A82,Sales_Entry!G:G),0)</f>
        <v>141</v>
      </c>
      <c r="E82" s="2">
        <v>80</v>
      </c>
      <c r="F82" s="2">
        <f>MAX(0,E82-D82)</f>
        <v>0</v>
      </c>
      <c r="G82" s="2">
        <f>IFERROR(MAX(E82-D82,ROUNDUP(SUMIF(Sales_Entry!D:D,A82,Sales_Entry!G:G)/90*30,0)),0)</f>
        <v>7</v>
      </c>
      <c r="H82" s="18" t="str">
        <f>IF(D82=0,"CRITICAL",IF(D82&lt;E82/2,"HIGH",IF(D82&lt;E82,"MEDIUM","OK")))</f>
        <v>OK</v>
      </c>
    </row>
    <row r="83" spans="1:8" ht="19.5" customHeight="1">
      <c r="A83" s="15" t="s">
        <v>275</v>
      </c>
      <c r="B83" s="8" t="s">
        <v>276</v>
      </c>
      <c r="C83" s="5" t="s">
        <v>174</v>
      </c>
      <c r="D83" s="5">
        <f>IFERROR(SUMIF(Purchase_Entry!C:C,A83,Purchase_Entry!F:F)-SUMIF(Sales_Entry!D:D,A83,Sales_Entry!G:G),0)</f>
        <v>346</v>
      </c>
      <c r="E83" s="5">
        <v>130</v>
      </c>
      <c r="F83" s="5">
        <f>MAX(0,E83-D83)</f>
        <v>0</v>
      </c>
      <c r="G83" s="5">
        <f>IFERROR(MAX(E83-D83,ROUNDUP(SUMIF(Sales_Entry!D:D,A83,Sales_Entry!G:G)/90*30,0)),0)</f>
        <v>7</v>
      </c>
      <c r="H83" s="17" t="str">
        <f>IF(D83=0,"CRITICAL",IF(D83&lt;E83/2,"HIGH",IF(D83&lt;E83,"MEDIUM","OK")))</f>
        <v>OK</v>
      </c>
    </row>
    <row r="84" spans="1:8" ht="19.5" customHeight="1">
      <c r="A84" s="16" t="s">
        <v>277</v>
      </c>
      <c r="B84" s="9" t="s">
        <v>278</v>
      </c>
      <c r="C84" s="2" t="s">
        <v>187</v>
      </c>
      <c r="D84" s="2">
        <f>IFERROR(SUMIF(Purchase_Entry!C:C,A84,Purchase_Entry!F:F)-SUMIF(Sales_Entry!D:D,A84,Sales_Entry!G:G),0)</f>
        <v>244</v>
      </c>
      <c r="E84" s="2">
        <v>80</v>
      </c>
      <c r="F84" s="2">
        <f>MAX(0,E84-D84)</f>
        <v>0</v>
      </c>
      <c r="G84" s="2">
        <f>IFERROR(MAX(E84-D84,ROUNDUP(SUMIF(Sales_Entry!D:D,A84,Sales_Entry!G:G)/90*30,0)),0)</f>
        <v>18</v>
      </c>
      <c r="H84" s="18" t="str">
        <f>IF(D84=0,"CRITICAL",IF(D84&lt;E84/2,"HIGH",IF(D84&lt;E84,"MEDIUM","OK")))</f>
        <v>OK</v>
      </c>
    </row>
    <row r="85" spans="1:8" ht="19.5" customHeight="1">
      <c r="A85" s="15" t="s">
        <v>279</v>
      </c>
      <c r="B85" s="8" t="s">
        <v>280</v>
      </c>
      <c r="C85" s="5" t="s">
        <v>187</v>
      </c>
      <c r="D85" s="5">
        <f>IFERROR(SUMIF(Purchase_Entry!C:C,A85,Purchase_Entry!F:F)-SUMIF(Sales_Entry!D:D,A85,Sales_Entry!G:G),0)</f>
        <v>0</v>
      </c>
      <c r="E85" s="5">
        <v>100</v>
      </c>
      <c r="F85" s="5">
        <f>MAX(0,E85-D85)</f>
        <v>100</v>
      </c>
      <c r="G85" s="5">
        <f>IFERROR(MAX(E85-D85,ROUNDUP(SUMIF(Sales_Entry!D:D,A85,Sales_Entry!G:G)/90*30,0)),0)</f>
        <v>100</v>
      </c>
      <c r="H85" s="17" t="str">
        <f>IF(D85=0,"CRITICAL",IF(D85&lt;E85/2,"HIGH",IF(D85&lt;E85,"MEDIUM","OK")))</f>
        <v>CRITICAL</v>
      </c>
    </row>
    <row r="86" spans="1:8" ht="19.5" customHeight="1">
      <c r="A86" s="16" t="s">
        <v>281</v>
      </c>
      <c r="B86" s="9" t="s">
        <v>282</v>
      </c>
      <c r="C86" s="2" t="s">
        <v>187</v>
      </c>
      <c r="D86" s="2">
        <f>IFERROR(SUMIF(Purchase_Entry!C:C,A86,Purchase_Entry!F:F)-SUMIF(Sales_Entry!D:D,A86,Sales_Entry!G:G),0)</f>
        <v>705</v>
      </c>
      <c r="E86" s="2">
        <v>120</v>
      </c>
      <c r="F86" s="2">
        <f>MAX(0,E86-D86)</f>
        <v>0</v>
      </c>
      <c r="G86" s="2">
        <f>IFERROR(MAX(E86-D86,ROUNDUP(SUMIF(Sales_Entry!D:D,A86,Sales_Entry!G:G)/90*30,0)),0)</f>
        <v>8</v>
      </c>
      <c r="H86" s="18" t="str">
        <f>IF(D86=0,"CRITICAL",IF(D86&lt;E86/2,"HIGH",IF(D86&lt;E86,"MEDIUM","OK")))</f>
        <v>OK</v>
      </c>
    </row>
    <row r="87" spans="1:8" ht="19.5" customHeight="1">
      <c r="A87" s="15" t="s">
        <v>283</v>
      </c>
      <c r="B87" s="8" t="s">
        <v>284</v>
      </c>
      <c r="C87" s="5" t="s">
        <v>198</v>
      </c>
      <c r="D87" s="5">
        <f>IFERROR(SUMIF(Purchase_Entry!C:C,A87,Purchase_Entry!F:F)-SUMIF(Sales_Entry!D:D,A87,Sales_Entry!G:G),0)</f>
        <v>0</v>
      </c>
      <c r="E87" s="5">
        <v>80</v>
      </c>
      <c r="F87" s="5">
        <f>MAX(0,E87-D87)</f>
        <v>80</v>
      </c>
      <c r="G87" s="5">
        <f>IFERROR(MAX(E87-D87,ROUNDUP(SUMIF(Sales_Entry!D:D,A87,Sales_Entry!G:G)/90*30,0)),0)</f>
        <v>80</v>
      </c>
      <c r="H87" s="17" t="str">
        <f>IF(D87=0,"CRITICAL",IF(D87&lt;E87/2,"HIGH",IF(D87&lt;E87,"MEDIUM","OK")))</f>
        <v>CRITICAL</v>
      </c>
    </row>
    <row r="88" spans="1:8" ht="19.5" customHeight="1">
      <c r="A88" s="16" t="s">
        <v>285</v>
      </c>
      <c r="B88" s="9" t="s">
        <v>286</v>
      </c>
      <c r="C88" s="2" t="s">
        <v>198</v>
      </c>
      <c r="D88" s="2">
        <f>IFERROR(SUMIF(Purchase_Entry!C:C,A88,Purchase_Entry!F:F)-SUMIF(Sales_Entry!D:D,A88,Sales_Entry!G:G),0)</f>
        <v>1017</v>
      </c>
      <c r="E88" s="2">
        <v>50</v>
      </c>
      <c r="F88" s="2">
        <f>MAX(0,E88-D88)</f>
        <v>0</v>
      </c>
      <c r="G88" s="2">
        <f>IFERROR(MAX(E88-D88,ROUNDUP(SUMIF(Sales_Entry!D:D,A88,Sales_Entry!G:G)/90*30,0)),0)</f>
        <v>6</v>
      </c>
      <c r="H88" s="18" t="str">
        <f>IF(D88=0,"CRITICAL",IF(D88&lt;E88/2,"HIGH",IF(D88&lt;E88,"MEDIUM","OK")))</f>
        <v>OK</v>
      </c>
    </row>
    <row r="89" spans="1:8" ht="19.5" customHeight="1">
      <c r="A89" s="15" t="s">
        <v>287</v>
      </c>
      <c r="B89" s="8" t="s">
        <v>288</v>
      </c>
      <c r="C89" s="5" t="s">
        <v>211</v>
      </c>
      <c r="D89" s="5">
        <f>IFERROR(SUMIF(Purchase_Entry!C:C,A89,Purchase_Entry!F:F)-SUMIF(Sales_Entry!D:D,A89,Sales_Entry!G:G),0)</f>
        <v>1322</v>
      </c>
      <c r="E89" s="5">
        <v>60</v>
      </c>
      <c r="F89" s="5">
        <f>MAX(0,E89-D89)</f>
        <v>0</v>
      </c>
      <c r="G89" s="5">
        <f>IFERROR(MAX(E89-D89,ROUNDUP(SUMIF(Sales_Entry!D:D,A89,Sales_Entry!G:G)/90*30,0)),0)</f>
        <v>6</v>
      </c>
      <c r="H89" s="17" t="str">
        <f>IF(D89=0,"CRITICAL",IF(D89&lt;E89/2,"HIGH",IF(D89&lt;E89,"MEDIUM","OK")))</f>
        <v>OK</v>
      </c>
    </row>
    <row r="90" spans="1:8" ht="19.5" customHeight="1">
      <c r="A90" s="16" t="s">
        <v>289</v>
      </c>
      <c r="B90" s="9" t="s">
        <v>290</v>
      </c>
      <c r="C90" s="2" t="s">
        <v>211</v>
      </c>
      <c r="D90" s="2">
        <f>IFERROR(SUMIF(Purchase_Entry!C:C,A90,Purchase_Entry!F:F)-SUMIF(Sales_Entry!D:D,A90,Sales_Entry!G:G),0)</f>
        <v>531</v>
      </c>
      <c r="E90" s="2">
        <v>50</v>
      </c>
      <c r="F90" s="2">
        <f>MAX(0,E90-D90)</f>
        <v>0</v>
      </c>
      <c r="G90" s="2">
        <f>IFERROR(MAX(E90-D90,ROUNDUP(SUMIF(Sales_Entry!D:D,A90,Sales_Entry!G:G)/90*30,0)),0)</f>
        <v>20</v>
      </c>
      <c r="H90" s="18" t="str">
        <f>IF(D90=0,"CRITICAL",IF(D90&lt;E90/2,"HIGH",IF(D90&lt;E90,"MEDIUM","OK")))</f>
        <v>OK</v>
      </c>
    </row>
    <row r="91" spans="1:8" ht="19.5" customHeight="1">
      <c r="A91" s="15" t="s">
        <v>291</v>
      </c>
      <c r="B91" s="8" t="s">
        <v>30</v>
      </c>
      <c r="C91" s="5" t="s">
        <v>211</v>
      </c>
      <c r="D91" s="5">
        <f>IFERROR(SUMIF(Purchase_Entry!C:C,A91,Purchase_Entry!F:F)-SUMIF(Sales_Entry!D:D,A91,Sales_Entry!G:G),0)</f>
        <v>241</v>
      </c>
      <c r="E91" s="5">
        <v>20</v>
      </c>
      <c r="F91" s="5">
        <f>MAX(0,E91-D91)</f>
        <v>0</v>
      </c>
      <c r="G91" s="5">
        <f>IFERROR(MAX(E91-D91,ROUNDUP(SUMIF(Sales_Entry!D:D,A91,Sales_Entry!G:G)/90*30,0)),0)</f>
        <v>23</v>
      </c>
      <c r="H91" s="17" t="str">
        <f>IF(D91=0,"CRITICAL",IF(D91&lt;E91/2,"HIGH",IF(D91&lt;E91,"MEDIUM","OK")))</f>
        <v>OK</v>
      </c>
    </row>
    <row r="92" spans="1:8" ht="19.5" customHeight="1">
      <c r="A92" s="16" t="s">
        <v>293</v>
      </c>
      <c r="B92" s="9" t="s">
        <v>294</v>
      </c>
      <c r="C92" s="2" t="s">
        <v>224</v>
      </c>
      <c r="D92" s="2">
        <f>IFERROR(SUMIF(Purchase_Entry!C:C,A92,Purchase_Entry!F:F)-SUMIF(Sales_Entry!D:D,A92,Sales_Entry!G:G),0)</f>
        <v>248</v>
      </c>
      <c r="E92" s="2">
        <v>50</v>
      </c>
      <c r="F92" s="2">
        <f>MAX(0,E92-D92)</f>
        <v>0</v>
      </c>
      <c r="G92" s="2">
        <f>IFERROR(MAX(E92-D92,ROUNDUP(SUMIF(Sales_Entry!D:D,A92,Sales_Entry!G:G)/90*30,0)),0)</f>
        <v>23</v>
      </c>
      <c r="H92" s="18" t="str">
        <f>IF(D92=0,"CRITICAL",IF(D92&lt;E92/2,"HIGH",IF(D92&lt;E92,"MEDIUM","OK")))</f>
        <v>OK</v>
      </c>
    </row>
    <row r="93" spans="1:8" ht="19.5" customHeight="1">
      <c r="A93" s="15" t="s">
        <v>295</v>
      </c>
      <c r="B93" s="8" t="s">
        <v>296</v>
      </c>
      <c r="C93" s="5" t="s">
        <v>224</v>
      </c>
      <c r="D93" s="5">
        <f>IFERROR(SUMIF(Purchase_Entry!C:C,A93,Purchase_Entry!F:F)-SUMIF(Sales_Entry!D:D,A93,Sales_Entry!G:G),0)</f>
        <v>159</v>
      </c>
      <c r="E93" s="5">
        <v>40</v>
      </c>
      <c r="F93" s="5">
        <f>MAX(0,E93-D93)</f>
        <v>0</v>
      </c>
      <c r="G93" s="5">
        <f>IFERROR(MAX(E93-D93,ROUNDUP(SUMIF(Sales_Entry!D:D,A93,Sales_Entry!G:G)/90*30,0)),0)</f>
        <v>0</v>
      </c>
      <c r="H93" s="17" t="str">
        <f>IF(D93=0,"CRITICAL",IF(D93&lt;E93/2,"HIGH",IF(D93&lt;E93,"MEDIUM","OK")))</f>
        <v>OK</v>
      </c>
    </row>
    <row r="94" spans="1:8" ht="19.5" customHeight="1">
      <c r="A94" s="16" t="s">
        <v>297</v>
      </c>
      <c r="B94" s="9" t="s">
        <v>298</v>
      </c>
      <c r="C94" s="2" t="s">
        <v>224</v>
      </c>
      <c r="D94" s="2">
        <f>IFERROR(SUMIF(Purchase_Entry!C:C,A94,Purchase_Entry!F:F)-SUMIF(Sales_Entry!D:D,A94,Sales_Entry!G:G),0)</f>
        <v>357</v>
      </c>
      <c r="E94" s="2">
        <v>60</v>
      </c>
      <c r="F94" s="2">
        <f>MAX(0,E94-D94)</f>
        <v>0</v>
      </c>
      <c r="G94" s="2">
        <f>IFERROR(MAX(E94-D94,ROUNDUP(SUMIF(Sales_Entry!D:D,A94,Sales_Entry!G:G)/90*30,0)),0)</f>
        <v>17</v>
      </c>
      <c r="H94" s="18" t="str">
        <f>IF(D94=0,"CRITICAL",IF(D94&lt;E94/2,"HIGH",IF(D94&lt;E94,"MEDIUM","OK")))</f>
        <v>OK</v>
      </c>
    </row>
    <row r="95" spans="1:8" ht="19.5" customHeight="1">
      <c r="A95" s="15" t="s">
        <v>299</v>
      </c>
      <c r="B95" s="8" t="s">
        <v>300</v>
      </c>
      <c r="C95" s="5" t="s">
        <v>224</v>
      </c>
      <c r="D95" s="5">
        <f>IFERROR(SUMIF(Purchase_Entry!C:C,A95,Purchase_Entry!F:F)-SUMIF(Sales_Entry!D:D,A95,Sales_Entry!G:G),0)</f>
        <v>156</v>
      </c>
      <c r="E95" s="5">
        <v>40</v>
      </c>
      <c r="F95" s="5">
        <f>MAX(0,E95-D95)</f>
        <v>0</v>
      </c>
      <c r="G95" s="5">
        <f>IFERROR(MAX(E95-D95,ROUNDUP(SUMIF(Sales_Entry!D:D,A95,Sales_Entry!G:G)/90*30,0)),0)</f>
        <v>16</v>
      </c>
      <c r="H95" s="17" t="str">
        <f>IF(D95=0,"CRITICAL",IF(D95&lt;E95/2,"HIGH",IF(D95&lt;E95,"MEDIUM","OK")))</f>
        <v>OK</v>
      </c>
    </row>
    <row r="96" spans="1:8" ht="19.5" customHeight="1">
      <c r="A96" s="16" t="s">
        <v>301</v>
      </c>
      <c r="B96" s="9" t="s">
        <v>302</v>
      </c>
      <c r="C96" s="2" t="s">
        <v>224</v>
      </c>
      <c r="D96" s="2">
        <f>IFERROR(SUMIF(Purchase_Entry!C:C,A96,Purchase_Entry!F:F)-SUMIF(Sales_Entry!D:D,A96,Sales_Entry!G:G),0)</f>
        <v>238</v>
      </c>
      <c r="E96" s="2">
        <v>60</v>
      </c>
      <c r="F96" s="2">
        <f>MAX(0,E96-D96)</f>
        <v>0</v>
      </c>
      <c r="G96" s="2">
        <f>IFERROR(MAX(E96-D96,ROUNDUP(SUMIF(Sales_Entry!D:D,A96,Sales_Entry!G:G)/90*30,0)),0)</f>
        <v>16</v>
      </c>
      <c r="H96" s="18" t="str">
        <f>IF(D96=0,"CRITICAL",IF(D96&lt;E96/2,"HIGH",IF(D96&lt;E96,"MEDIUM","OK")))</f>
        <v>OK</v>
      </c>
    </row>
    <row r="97" spans="1:8" ht="19.5" customHeight="1">
      <c r="A97" s="15" t="s">
        <v>303</v>
      </c>
      <c r="B97" s="8" t="s">
        <v>304</v>
      </c>
      <c r="C97" s="5" t="s">
        <v>224</v>
      </c>
      <c r="D97" s="5">
        <f>IFERROR(SUMIF(Purchase_Entry!C:C,A97,Purchase_Entry!F:F)-SUMIF(Sales_Entry!D:D,A97,Sales_Entry!G:G),0)</f>
        <v>306</v>
      </c>
      <c r="E97" s="5">
        <v>50</v>
      </c>
      <c r="F97" s="5">
        <f>MAX(0,E97-D97)</f>
        <v>0</v>
      </c>
      <c r="G97" s="5">
        <f>IFERROR(MAX(E97-D97,ROUNDUP(SUMIF(Sales_Entry!D:D,A97,Sales_Entry!G:G)/90*30,0)),0)</f>
        <v>6</v>
      </c>
      <c r="H97" s="17" t="str">
        <f>IF(D97=0,"CRITICAL",IF(D97&lt;E97/2,"HIGH",IF(D97&lt;E97,"MEDIUM","OK")))</f>
        <v>OK</v>
      </c>
    </row>
    <row r="98" spans="1:8" ht="19.5" customHeight="1">
      <c r="A98" s="22" t="s">
        <v>305</v>
      </c>
      <c r="B98" s="23" t="s">
        <v>306</v>
      </c>
      <c r="C98" s="24" t="s">
        <v>224</v>
      </c>
      <c r="D98" s="24">
        <f>IFERROR(SUMIF(Purchase_Entry!C:C,A98,Purchase_Entry!F:F)-SUMIF(Sales_Entry!D:D,A98,Sales_Entry!G:G),0)</f>
        <v>210</v>
      </c>
      <c r="E98" s="24">
        <v>25</v>
      </c>
      <c r="F98" s="24">
        <f>MAX(0,E98-D98)</f>
        <v>0</v>
      </c>
      <c r="G98" s="24">
        <f>IFERROR(MAX(E98-D98,ROUNDUP(SUMIF(Sales_Entry!D:D,A98,Sales_Entry!G:G)/90*30,0)),0)</f>
        <v>0</v>
      </c>
      <c r="H98" s="26" t="str">
        <f>IF(D98=0,"CRITICAL",IF(D98&lt;E98/2,"HIGH",IF(D98&lt;E98,"MEDIUM","OK")))</f>
        <v>OK</v>
      </c>
    </row>
  </sheetData>
  <mergeCells count="1">
    <mergeCell ref="A1:H1"/>
  </mergeCells>
  <conditionalFormatting sqref="H3:H102">
    <cfRule type="expression" dxfId="34" priority="2">
      <formula>$H3="CRITICAL"</formula>
    </cfRule>
    <cfRule type="expression" dxfId="33" priority="3">
      <formula>$H3="HIGH"</formula>
    </cfRule>
    <cfRule type="expression" dxfId="32" priority="4">
      <formula>$H3="MEDIUM"</formula>
    </cfRule>
    <cfRule type="expression" dxfId="31" priority="5">
      <formula>$H3="OK"</formula>
    </cfRule>
  </conditionalFormatting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27"/>
  <sheetViews>
    <sheetView showGridLines="0" zoomScaleNormal="100" workbookViewId="0">
      <pane ySplit="2" topLeftCell="A3" activePane="bottomLeft" state="frozen"/>
      <selection pane="bottomLeft" activeCell="M13" sqref="M13"/>
    </sheetView>
  </sheetViews>
  <sheetFormatPr defaultColWidth="8.7109375" defaultRowHeight="15"/>
  <cols>
    <col min="1" max="1" width="10" style="1" customWidth="1"/>
    <col min="2" max="2" width="12" style="1" customWidth="1"/>
    <col min="3" max="3" width="22" style="1" customWidth="1"/>
    <col min="4" max="4" width="28" style="1" customWidth="1"/>
    <col min="5" max="5" width="20.5703125" style="1" customWidth="1"/>
    <col min="6" max="6" width="20" style="1" customWidth="1"/>
    <col min="7" max="7" width="19.7109375" style="1" customWidth="1"/>
    <col min="8" max="8" width="19.5703125" style="1" customWidth="1"/>
    <col min="9" max="9" width="17.42578125" style="1" customWidth="1"/>
    <col min="10" max="10" width="18.85546875" style="1" customWidth="1"/>
  </cols>
  <sheetData>
    <row r="1" spans="1:10" ht="39.75" customHeight="1">
      <c r="A1" s="105" t="s">
        <v>787</v>
      </c>
      <c r="B1" s="105"/>
      <c r="C1" s="105"/>
      <c r="D1" s="105"/>
      <c r="E1" s="105"/>
      <c r="F1" s="105"/>
      <c r="G1" s="105"/>
      <c r="H1" s="105"/>
      <c r="I1" s="105"/>
      <c r="J1" s="105"/>
    </row>
    <row r="2" spans="1:10" ht="31.5" customHeight="1">
      <c r="A2" s="19" t="s">
        <v>89</v>
      </c>
      <c r="B2" s="20" t="s">
        <v>81</v>
      </c>
      <c r="C2" s="20" t="s">
        <v>90</v>
      </c>
      <c r="D2" s="20" t="s">
        <v>28</v>
      </c>
      <c r="E2" s="20" t="s">
        <v>788</v>
      </c>
      <c r="F2" s="20" t="s">
        <v>789</v>
      </c>
      <c r="G2" s="20" t="s">
        <v>790</v>
      </c>
      <c r="H2" s="20" t="s">
        <v>791</v>
      </c>
      <c r="I2" s="20" t="s">
        <v>792</v>
      </c>
      <c r="J2" s="21" t="s">
        <v>793</v>
      </c>
    </row>
    <row r="3" spans="1:10" ht="19.5" customHeight="1">
      <c r="A3" s="15" t="s">
        <v>690</v>
      </c>
      <c r="B3" s="6">
        <v>46039</v>
      </c>
      <c r="C3" s="8" t="s">
        <v>731</v>
      </c>
      <c r="D3" s="8" t="s">
        <v>236</v>
      </c>
      <c r="E3" s="7">
        <v>5510</v>
      </c>
      <c r="F3" s="7">
        <v>2755</v>
      </c>
      <c r="G3" s="7">
        <v>2755</v>
      </c>
      <c r="H3" s="5">
        <v>46</v>
      </c>
      <c r="I3" s="5" t="s">
        <v>794</v>
      </c>
      <c r="J3" s="17" t="s">
        <v>795</v>
      </c>
    </row>
    <row r="4" spans="1:10" ht="19.5" customHeight="1">
      <c r="A4" s="16" t="s">
        <v>692</v>
      </c>
      <c r="B4" s="3">
        <v>46075</v>
      </c>
      <c r="C4" s="9" t="s">
        <v>669</v>
      </c>
      <c r="D4" s="9" t="s">
        <v>153</v>
      </c>
      <c r="E4" s="4">
        <v>1260</v>
      </c>
      <c r="F4" s="4">
        <v>630</v>
      </c>
      <c r="G4" s="4">
        <v>630</v>
      </c>
      <c r="H4" s="2">
        <v>10</v>
      </c>
      <c r="I4" s="2" t="s">
        <v>796</v>
      </c>
      <c r="J4" s="18" t="s">
        <v>797</v>
      </c>
    </row>
    <row r="5" spans="1:10" ht="19.5" customHeight="1">
      <c r="A5" s="15" t="s">
        <v>693</v>
      </c>
      <c r="B5" s="6">
        <v>46049</v>
      </c>
      <c r="C5" s="8" t="s">
        <v>699</v>
      </c>
      <c r="D5" s="8" t="s">
        <v>244</v>
      </c>
      <c r="E5" s="7">
        <v>4070</v>
      </c>
      <c r="F5" s="7">
        <v>0</v>
      </c>
      <c r="G5" s="7">
        <v>4070</v>
      </c>
      <c r="H5" s="5">
        <v>36</v>
      </c>
      <c r="I5" s="5" t="s">
        <v>794</v>
      </c>
      <c r="J5" s="17" t="s">
        <v>795</v>
      </c>
    </row>
    <row r="6" spans="1:10" ht="19.5" customHeight="1">
      <c r="A6" s="16" t="s">
        <v>700</v>
      </c>
      <c r="B6" s="3">
        <v>46077</v>
      </c>
      <c r="C6" s="9" t="s">
        <v>688</v>
      </c>
      <c r="D6" s="9" t="s">
        <v>178</v>
      </c>
      <c r="E6" s="4">
        <v>1395</v>
      </c>
      <c r="F6" s="4">
        <v>0</v>
      </c>
      <c r="G6" s="4">
        <v>1395</v>
      </c>
      <c r="H6" s="2">
        <v>8</v>
      </c>
      <c r="I6" s="2" t="s">
        <v>796</v>
      </c>
      <c r="J6" s="18" t="s">
        <v>797</v>
      </c>
    </row>
    <row r="7" spans="1:10" ht="19.5" customHeight="1">
      <c r="A7" s="15" t="s">
        <v>702</v>
      </c>
      <c r="B7" s="6">
        <v>46028</v>
      </c>
      <c r="C7" s="8" t="s">
        <v>712</v>
      </c>
      <c r="D7" s="8" t="s">
        <v>280</v>
      </c>
      <c r="E7" s="7">
        <v>3145</v>
      </c>
      <c r="F7" s="7">
        <v>1572</v>
      </c>
      <c r="G7" s="7">
        <v>1573</v>
      </c>
      <c r="H7" s="5">
        <v>57</v>
      </c>
      <c r="I7" s="5" t="s">
        <v>794</v>
      </c>
      <c r="J7" s="17" t="s">
        <v>795</v>
      </c>
    </row>
    <row r="8" spans="1:10" ht="19.5" customHeight="1">
      <c r="A8" s="16" t="s">
        <v>705</v>
      </c>
      <c r="B8" s="3">
        <v>46069</v>
      </c>
      <c r="C8" s="9" t="s">
        <v>712</v>
      </c>
      <c r="D8" s="9" t="s">
        <v>114</v>
      </c>
      <c r="E8" s="4">
        <v>168</v>
      </c>
      <c r="F8" s="4">
        <v>0</v>
      </c>
      <c r="G8" s="4">
        <v>168</v>
      </c>
      <c r="H8" s="2">
        <v>16</v>
      </c>
      <c r="I8" s="2" t="s">
        <v>796</v>
      </c>
      <c r="J8" s="18" t="s">
        <v>797</v>
      </c>
    </row>
    <row r="9" spans="1:10" ht="19.5" customHeight="1">
      <c r="A9" s="15" t="s">
        <v>710</v>
      </c>
      <c r="B9" s="6">
        <v>46056</v>
      </c>
      <c r="C9" s="8" t="s">
        <v>667</v>
      </c>
      <c r="D9" s="8" t="s">
        <v>203</v>
      </c>
      <c r="E9" s="7">
        <v>6380</v>
      </c>
      <c r="F9" s="7">
        <v>0</v>
      </c>
      <c r="G9" s="7">
        <v>6380</v>
      </c>
      <c r="H9" s="5">
        <v>29</v>
      </c>
      <c r="I9" s="5" t="s">
        <v>796</v>
      </c>
      <c r="J9" s="17" t="s">
        <v>797</v>
      </c>
    </row>
    <row r="10" spans="1:10" ht="19.5" customHeight="1">
      <c r="A10" s="16" t="s">
        <v>713</v>
      </c>
      <c r="B10" s="3">
        <v>46062</v>
      </c>
      <c r="C10" s="9" t="s">
        <v>688</v>
      </c>
      <c r="D10" s="9" t="s">
        <v>39</v>
      </c>
      <c r="E10" s="4">
        <v>7040</v>
      </c>
      <c r="F10" s="4">
        <v>3520</v>
      </c>
      <c r="G10" s="4">
        <v>3520</v>
      </c>
      <c r="H10" s="2">
        <v>23</v>
      </c>
      <c r="I10" s="2" t="s">
        <v>796</v>
      </c>
      <c r="J10" s="18" t="s">
        <v>797</v>
      </c>
    </row>
    <row r="11" spans="1:10" ht="19.5" customHeight="1">
      <c r="A11" s="15" t="s">
        <v>716</v>
      </c>
      <c r="B11" s="6">
        <v>46002</v>
      </c>
      <c r="C11" s="8" t="s">
        <v>685</v>
      </c>
      <c r="D11" s="8" t="s">
        <v>30</v>
      </c>
      <c r="E11" s="7">
        <v>9405</v>
      </c>
      <c r="F11" s="7">
        <v>0</v>
      </c>
      <c r="G11" s="7">
        <v>9405</v>
      </c>
      <c r="H11" s="5">
        <v>83</v>
      </c>
      <c r="I11" s="5" t="s">
        <v>798</v>
      </c>
      <c r="J11" s="17" t="s">
        <v>795</v>
      </c>
    </row>
    <row r="12" spans="1:10" ht="19.5" customHeight="1">
      <c r="A12" s="16" t="s">
        <v>717</v>
      </c>
      <c r="B12" s="3">
        <v>46035</v>
      </c>
      <c r="C12" s="9" t="s">
        <v>712</v>
      </c>
      <c r="D12" s="9" t="s">
        <v>33</v>
      </c>
      <c r="E12" s="4">
        <v>4180</v>
      </c>
      <c r="F12" s="4">
        <v>2090</v>
      </c>
      <c r="G12" s="4">
        <v>2090</v>
      </c>
      <c r="H12" s="2">
        <v>50</v>
      </c>
      <c r="I12" s="2" t="s">
        <v>794</v>
      </c>
      <c r="J12" s="18" t="s">
        <v>795</v>
      </c>
    </row>
    <row r="13" spans="1:10" ht="19.5" customHeight="1">
      <c r="A13" s="15" t="s">
        <v>725</v>
      </c>
      <c r="B13" s="6">
        <v>46007</v>
      </c>
      <c r="C13" s="8" t="s">
        <v>667</v>
      </c>
      <c r="D13" s="8" t="s">
        <v>253</v>
      </c>
      <c r="E13" s="7">
        <v>385</v>
      </c>
      <c r="F13" s="7">
        <v>0</v>
      </c>
      <c r="G13" s="7">
        <v>385</v>
      </c>
      <c r="H13" s="5">
        <v>78</v>
      </c>
      <c r="I13" s="5" t="s">
        <v>798</v>
      </c>
      <c r="J13" s="17" t="s">
        <v>795</v>
      </c>
    </row>
    <row r="14" spans="1:10" ht="19.5" customHeight="1">
      <c r="A14" s="16" t="s">
        <v>729</v>
      </c>
      <c r="B14" s="3">
        <v>46026</v>
      </c>
      <c r="C14" s="9" t="s">
        <v>719</v>
      </c>
      <c r="D14" s="9" t="s">
        <v>37</v>
      </c>
      <c r="E14" s="4">
        <v>304</v>
      </c>
      <c r="F14" s="4">
        <v>152</v>
      </c>
      <c r="G14" s="4">
        <v>152</v>
      </c>
      <c r="H14" s="2">
        <v>59</v>
      </c>
      <c r="I14" s="2" t="s">
        <v>794</v>
      </c>
      <c r="J14" s="18" t="s">
        <v>795</v>
      </c>
    </row>
    <row r="15" spans="1:10" ht="19.5" customHeight="1">
      <c r="A15" s="15" t="s">
        <v>734</v>
      </c>
      <c r="B15" s="6">
        <v>46082</v>
      </c>
      <c r="C15" s="8" t="s">
        <v>667</v>
      </c>
      <c r="D15" s="8" t="s">
        <v>205</v>
      </c>
      <c r="E15" s="7">
        <v>850</v>
      </c>
      <c r="F15" s="7">
        <v>425</v>
      </c>
      <c r="G15" s="7">
        <v>425</v>
      </c>
      <c r="H15" s="5">
        <v>3</v>
      </c>
      <c r="I15" s="5" t="s">
        <v>796</v>
      </c>
      <c r="J15" s="17" t="s">
        <v>797</v>
      </c>
    </row>
    <row r="16" spans="1:10" ht="19.5" customHeight="1">
      <c r="A16" s="16" t="s">
        <v>738</v>
      </c>
      <c r="B16" s="3">
        <v>46055</v>
      </c>
      <c r="C16" s="9" t="s">
        <v>731</v>
      </c>
      <c r="D16" s="9" t="s">
        <v>272</v>
      </c>
      <c r="E16" s="4">
        <v>3675</v>
      </c>
      <c r="F16" s="4">
        <v>1837</v>
      </c>
      <c r="G16" s="4">
        <v>1838</v>
      </c>
      <c r="H16" s="2">
        <v>30</v>
      </c>
      <c r="I16" s="2" t="s">
        <v>796</v>
      </c>
      <c r="J16" s="18" t="s">
        <v>797</v>
      </c>
    </row>
    <row r="17" spans="1:10" ht="19.5" customHeight="1">
      <c r="A17" s="15" t="s">
        <v>741</v>
      </c>
      <c r="B17" s="6">
        <v>46028</v>
      </c>
      <c r="C17" s="8" t="s">
        <v>681</v>
      </c>
      <c r="D17" s="8" t="s">
        <v>30</v>
      </c>
      <c r="E17" s="7">
        <v>11115</v>
      </c>
      <c r="F17" s="7">
        <v>5557</v>
      </c>
      <c r="G17" s="7">
        <v>5558</v>
      </c>
      <c r="H17" s="5">
        <v>57</v>
      </c>
      <c r="I17" s="5" t="s">
        <v>794</v>
      </c>
      <c r="J17" s="17" t="s">
        <v>795</v>
      </c>
    </row>
    <row r="18" spans="1:10" ht="19.5" customHeight="1">
      <c r="A18" s="16" t="s">
        <v>746</v>
      </c>
      <c r="B18" s="3">
        <v>46060</v>
      </c>
      <c r="C18" s="9" t="s">
        <v>679</v>
      </c>
      <c r="D18" s="9" t="s">
        <v>37</v>
      </c>
      <c r="E18" s="4">
        <v>950</v>
      </c>
      <c r="F18" s="4">
        <v>475</v>
      </c>
      <c r="G18" s="4">
        <v>475</v>
      </c>
      <c r="H18" s="2">
        <v>25</v>
      </c>
      <c r="I18" s="2" t="s">
        <v>796</v>
      </c>
      <c r="J18" s="18" t="s">
        <v>797</v>
      </c>
    </row>
    <row r="19" spans="1:10" ht="19.5" customHeight="1">
      <c r="A19" s="15" t="s">
        <v>748</v>
      </c>
      <c r="B19" s="6">
        <v>46075</v>
      </c>
      <c r="C19" s="8" t="s">
        <v>679</v>
      </c>
      <c r="D19" s="8" t="s">
        <v>236</v>
      </c>
      <c r="E19" s="7">
        <v>3770</v>
      </c>
      <c r="F19" s="7">
        <v>0</v>
      </c>
      <c r="G19" s="7">
        <v>3770</v>
      </c>
      <c r="H19" s="5">
        <v>10</v>
      </c>
      <c r="I19" s="5" t="s">
        <v>796</v>
      </c>
      <c r="J19" s="17" t="s">
        <v>797</v>
      </c>
    </row>
    <row r="20" spans="1:10" ht="19.5" customHeight="1">
      <c r="A20" s="16" t="s">
        <v>751</v>
      </c>
      <c r="B20" s="3">
        <v>46066</v>
      </c>
      <c r="C20" s="9" t="s">
        <v>726</v>
      </c>
      <c r="D20" s="9" t="s">
        <v>239</v>
      </c>
      <c r="E20" s="4">
        <v>4085</v>
      </c>
      <c r="F20" s="4">
        <v>0</v>
      </c>
      <c r="G20" s="4">
        <v>4085</v>
      </c>
      <c r="H20" s="2">
        <v>19</v>
      </c>
      <c r="I20" s="2" t="s">
        <v>796</v>
      </c>
      <c r="J20" s="18" t="s">
        <v>797</v>
      </c>
    </row>
    <row r="21" spans="1:10" ht="19.5" customHeight="1">
      <c r="A21" s="15" t="s">
        <v>755</v>
      </c>
      <c r="B21" s="6">
        <v>46044</v>
      </c>
      <c r="C21" s="8" t="s">
        <v>677</v>
      </c>
      <c r="D21" s="8" t="s">
        <v>246</v>
      </c>
      <c r="E21" s="7">
        <v>3920</v>
      </c>
      <c r="F21" s="7">
        <v>1960</v>
      </c>
      <c r="G21" s="7">
        <v>1960</v>
      </c>
      <c r="H21" s="5">
        <v>41</v>
      </c>
      <c r="I21" s="5" t="s">
        <v>794</v>
      </c>
      <c r="J21" s="17" t="s">
        <v>795</v>
      </c>
    </row>
    <row r="22" spans="1:10" ht="19.5" customHeight="1">
      <c r="A22" s="16" t="s">
        <v>766</v>
      </c>
      <c r="B22" s="3">
        <v>46077</v>
      </c>
      <c r="C22" s="9" t="s">
        <v>691</v>
      </c>
      <c r="D22" s="9" t="s">
        <v>259</v>
      </c>
      <c r="E22" s="4">
        <v>130</v>
      </c>
      <c r="F22" s="4">
        <v>65</v>
      </c>
      <c r="G22" s="4">
        <v>65</v>
      </c>
      <c r="H22" s="2">
        <v>8</v>
      </c>
      <c r="I22" s="2" t="s">
        <v>796</v>
      </c>
      <c r="J22" s="18" t="s">
        <v>797</v>
      </c>
    </row>
    <row r="23" spans="1:10" ht="19.5" customHeight="1">
      <c r="A23" s="15" t="s">
        <v>769</v>
      </c>
      <c r="B23" s="6">
        <v>45996</v>
      </c>
      <c r="C23" s="8" t="s">
        <v>677</v>
      </c>
      <c r="D23" s="8" t="s">
        <v>32</v>
      </c>
      <c r="E23" s="7">
        <v>5445</v>
      </c>
      <c r="F23" s="7">
        <v>2722</v>
      </c>
      <c r="G23" s="7">
        <v>2723</v>
      </c>
      <c r="H23" s="5">
        <v>89</v>
      </c>
      <c r="I23" s="5" t="s">
        <v>798</v>
      </c>
      <c r="J23" s="17" t="s">
        <v>795</v>
      </c>
    </row>
    <row r="24" spans="1:10" ht="19.5" customHeight="1">
      <c r="A24" s="16" t="s">
        <v>773</v>
      </c>
      <c r="B24" s="3">
        <v>46066</v>
      </c>
      <c r="C24" s="9" t="s">
        <v>701</v>
      </c>
      <c r="D24" s="9" t="s">
        <v>186</v>
      </c>
      <c r="E24" s="4">
        <v>176</v>
      </c>
      <c r="F24" s="4">
        <v>88</v>
      </c>
      <c r="G24" s="4">
        <v>88</v>
      </c>
      <c r="H24" s="2">
        <v>19</v>
      </c>
      <c r="I24" s="2" t="s">
        <v>796</v>
      </c>
      <c r="J24" s="18" t="s">
        <v>797</v>
      </c>
    </row>
    <row r="25" spans="1:10" ht="19.5" customHeight="1">
      <c r="A25" s="15" t="s">
        <v>774</v>
      </c>
      <c r="B25" s="6">
        <v>46057</v>
      </c>
      <c r="C25" s="8" t="s">
        <v>712</v>
      </c>
      <c r="D25" s="8" t="s">
        <v>173</v>
      </c>
      <c r="E25" s="7">
        <v>342</v>
      </c>
      <c r="F25" s="7">
        <v>0</v>
      </c>
      <c r="G25" s="7">
        <v>342</v>
      </c>
      <c r="H25" s="5">
        <v>28</v>
      </c>
      <c r="I25" s="5" t="s">
        <v>796</v>
      </c>
      <c r="J25" s="17" t="s">
        <v>797</v>
      </c>
    </row>
    <row r="26" spans="1:10" ht="19.5" customHeight="1">
      <c r="A26" s="16" t="s">
        <v>775</v>
      </c>
      <c r="B26" s="3">
        <v>46057</v>
      </c>
      <c r="C26" s="9" t="s">
        <v>708</v>
      </c>
      <c r="D26" s="9" t="s">
        <v>242</v>
      </c>
      <c r="E26" s="4">
        <v>2145</v>
      </c>
      <c r="F26" s="4">
        <v>0</v>
      </c>
      <c r="G26" s="4">
        <v>2145</v>
      </c>
      <c r="H26" s="2">
        <v>28</v>
      </c>
      <c r="I26" s="2" t="s">
        <v>796</v>
      </c>
      <c r="J26" s="18" t="s">
        <v>797</v>
      </c>
    </row>
    <row r="27" spans="1:10" ht="19.5" customHeight="1">
      <c r="A27" s="67" t="s">
        <v>781</v>
      </c>
      <c r="B27" s="68">
        <v>46072</v>
      </c>
      <c r="C27" s="69" t="s">
        <v>722</v>
      </c>
      <c r="D27" s="69" t="s">
        <v>135</v>
      </c>
      <c r="E27" s="70">
        <v>1275</v>
      </c>
      <c r="F27" s="70">
        <v>0</v>
      </c>
      <c r="G27" s="70">
        <v>1275</v>
      </c>
      <c r="H27" s="71">
        <v>13</v>
      </c>
      <c r="I27" s="71" t="s">
        <v>796</v>
      </c>
      <c r="J27" s="72" t="s">
        <v>797</v>
      </c>
    </row>
  </sheetData>
  <mergeCells count="1">
    <mergeCell ref="A1:J1"/>
  </mergeCells>
  <conditionalFormatting sqref="J3:J28">
    <cfRule type="expression" dxfId="17" priority="2">
      <formula>$J3="Overdue"</formula>
    </cfRule>
    <cfRule type="expression" dxfId="16" priority="3">
      <formula>$J3="Current"</formula>
    </cfRule>
  </conditionalFormatting>
  <conditionalFormatting sqref="I3:I28">
    <cfRule type="expression" dxfId="15" priority="4">
      <formula>$I3="60+ Days"</formula>
    </cfRule>
    <cfRule type="expression" dxfId="14" priority="5">
      <formula>$I3="31-60 Days"</formula>
    </cfRule>
  </conditionalFormatting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98"/>
  <sheetViews>
    <sheetView showGridLines="0" zoomScaleNormal="100" workbookViewId="0">
      <pane ySplit="2" topLeftCell="A3" activePane="bottomLeft" state="frozen"/>
      <selection pane="bottomLeft" activeCell="J3" sqref="J3"/>
    </sheetView>
  </sheetViews>
  <sheetFormatPr defaultColWidth="8.7109375" defaultRowHeight="15"/>
  <cols>
    <col min="1" max="1" width="9" style="1" customWidth="1"/>
    <col min="2" max="2" width="28" style="1" customWidth="1"/>
    <col min="3" max="3" width="18" style="1" customWidth="1"/>
    <col min="4" max="4" width="14.7109375" style="1" customWidth="1"/>
    <col min="5" max="5" width="21.42578125" style="1" customWidth="1"/>
    <col min="6" max="6" width="16" style="1" customWidth="1"/>
    <col min="7" max="7" width="17.42578125" style="1" customWidth="1"/>
    <col min="8" max="8" width="12" style="1" customWidth="1"/>
  </cols>
  <sheetData>
    <row r="1" spans="1:8" ht="39.75" customHeight="1">
      <c r="A1" s="106" t="s">
        <v>799</v>
      </c>
      <c r="B1" s="106"/>
      <c r="C1" s="106"/>
      <c r="D1" s="106"/>
      <c r="E1" s="106"/>
      <c r="F1" s="106"/>
      <c r="G1" s="106"/>
      <c r="H1" s="106"/>
    </row>
    <row r="2" spans="1:8" ht="31.5" customHeight="1">
      <c r="A2" s="12" t="s">
        <v>55</v>
      </c>
      <c r="B2" s="12" t="s">
        <v>28</v>
      </c>
      <c r="C2" s="12" t="s">
        <v>56</v>
      </c>
      <c r="D2" s="12" t="s">
        <v>800</v>
      </c>
      <c r="E2" s="12" t="s">
        <v>91</v>
      </c>
      <c r="F2" s="12" t="s">
        <v>84</v>
      </c>
      <c r="G2" s="12" t="s">
        <v>92</v>
      </c>
      <c r="H2" s="12" t="s">
        <v>801</v>
      </c>
    </row>
    <row r="3" spans="1:8" ht="19.5" customHeight="1">
      <c r="A3" s="5" t="s">
        <v>95</v>
      </c>
      <c r="B3" s="8" t="s">
        <v>96</v>
      </c>
      <c r="C3" s="5" t="s">
        <v>97</v>
      </c>
      <c r="D3" s="5">
        <f>IFERROR(SUMIF(Sales_Entry!D:D,A3,Sales_Entry!G:G),0)</f>
        <v>0</v>
      </c>
      <c r="E3" s="7">
        <f>IFERROR(SUMIF(Sales_Entry!D:D,A3,Sales_Entry!I:I),0)</f>
        <v>0</v>
      </c>
      <c r="F3" s="7">
        <f>IFERROR(SUMIF(Sales_Entry!D:D,A3,Sales_Entry!K:K),0)</f>
        <v>0</v>
      </c>
      <c r="G3" s="7">
        <f>E3-F3</f>
        <v>0</v>
      </c>
      <c r="H3" s="13">
        <f>IFERROR(G3/E3,0)</f>
        <v>0</v>
      </c>
    </row>
    <row r="4" spans="1:8" ht="19.5" customHeight="1">
      <c r="A4" s="2" t="s">
        <v>52</v>
      </c>
      <c r="B4" s="9" t="s">
        <v>39</v>
      </c>
      <c r="C4" s="2" t="s">
        <v>97</v>
      </c>
      <c r="D4" s="2">
        <f>IFERROR(SUMIF(Sales_Entry!D:D,A4,Sales_Entry!G:G),0)</f>
        <v>135</v>
      </c>
      <c r="E4" s="4">
        <f>IFERROR(SUMIF(Sales_Entry!D:D,A4,Sales_Entry!I:I),0)</f>
        <v>29700</v>
      </c>
      <c r="F4" s="4">
        <f>IFERROR(SUMIF(Sales_Entry!D:D,A4,Sales_Entry!K:K),0)</f>
        <v>14850</v>
      </c>
      <c r="G4" s="4">
        <f>E4-F4</f>
        <v>14850</v>
      </c>
      <c r="H4" s="14">
        <f>IFERROR(G4/E4,0)</f>
        <v>0.5</v>
      </c>
    </row>
    <row r="5" spans="1:8" ht="19.5" customHeight="1">
      <c r="A5" s="5" t="s">
        <v>104</v>
      </c>
      <c r="B5" s="8" t="s">
        <v>34</v>
      </c>
      <c r="C5" s="5" t="s">
        <v>97</v>
      </c>
      <c r="D5" s="5">
        <f>IFERROR(SUMIF(Sales_Entry!D:D,A5,Sales_Entry!G:G),0)</f>
        <v>93</v>
      </c>
      <c r="E5" s="7">
        <f>IFERROR(SUMIF(Sales_Entry!D:D,A5,Sales_Entry!I:I),0)</f>
        <v>16740</v>
      </c>
      <c r="F5" s="7">
        <f>IFERROR(SUMIF(Sales_Entry!D:D,A5,Sales_Entry!K:K),0)</f>
        <v>8184</v>
      </c>
      <c r="G5" s="7">
        <f>E5-F5</f>
        <v>8556</v>
      </c>
      <c r="H5" s="13">
        <f>IFERROR(G5/E5,0)</f>
        <v>0.51111111111111107</v>
      </c>
    </row>
    <row r="6" spans="1:8" ht="19.5" customHeight="1">
      <c r="A6" s="2" t="s">
        <v>106</v>
      </c>
      <c r="B6" s="9" t="s">
        <v>33</v>
      </c>
      <c r="C6" s="2" t="s">
        <v>97</v>
      </c>
      <c r="D6" s="2">
        <f>IFERROR(SUMIF(Sales_Entry!D:D,A6,Sales_Entry!G:G),0)</f>
        <v>88</v>
      </c>
      <c r="E6" s="4">
        <f>IFERROR(SUMIF(Sales_Entry!D:D,A6,Sales_Entry!I:I),0)</f>
        <v>8360</v>
      </c>
      <c r="F6" s="4">
        <f>IFERROR(SUMIF(Sales_Entry!D:D,A6,Sales_Entry!K:K),0)</f>
        <v>4048</v>
      </c>
      <c r="G6" s="4">
        <f>E6-F6</f>
        <v>4312</v>
      </c>
      <c r="H6" s="14">
        <f>IFERROR(G6/E6,0)</f>
        <v>0.51578947368421058</v>
      </c>
    </row>
    <row r="7" spans="1:8" ht="19.5" customHeight="1">
      <c r="A7" s="5" t="s">
        <v>107</v>
      </c>
      <c r="B7" s="8" t="s">
        <v>108</v>
      </c>
      <c r="C7" s="5" t="s">
        <v>97</v>
      </c>
      <c r="D7" s="5">
        <f>IFERROR(SUMIF(Sales_Entry!D:D,A7,Sales_Entry!G:G),0)</f>
        <v>0</v>
      </c>
      <c r="E7" s="7">
        <f>IFERROR(SUMIF(Sales_Entry!D:D,A7,Sales_Entry!I:I),0)</f>
        <v>0</v>
      </c>
      <c r="F7" s="7">
        <f>IFERROR(SUMIF(Sales_Entry!D:D,A7,Sales_Entry!K:K),0)</f>
        <v>0</v>
      </c>
      <c r="G7" s="7">
        <f>E7-F7</f>
        <v>0</v>
      </c>
      <c r="H7" s="13">
        <f>IFERROR(G7/E7,0)</f>
        <v>0</v>
      </c>
    </row>
    <row r="8" spans="1:8" ht="19.5" customHeight="1">
      <c r="A8" s="2" t="s">
        <v>109</v>
      </c>
      <c r="B8" s="9" t="s">
        <v>110</v>
      </c>
      <c r="C8" s="2" t="s">
        <v>97</v>
      </c>
      <c r="D8" s="2">
        <f>IFERROR(SUMIF(Sales_Entry!D:D,A8,Sales_Entry!G:G),0)</f>
        <v>0</v>
      </c>
      <c r="E8" s="4">
        <f>IFERROR(SUMIF(Sales_Entry!D:D,A8,Sales_Entry!I:I),0)</f>
        <v>0</v>
      </c>
      <c r="F8" s="4">
        <f>IFERROR(SUMIF(Sales_Entry!D:D,A8,Sales_Entry!K:K),0)</f>
        <v>0</v>
      </c>
      <c r="G8" s="4">
        <f>E8-F8</f>
        <v>0</v>
      </c>
      <c r="H8" s="14">
        <f>IFERROR(G8/E8,0)</f>
        <v>0</v>
      </c>
    </row>
    <row r="9" spans="1:8" ht="19.5" customHeight="1">
      <c r="A9" s="5" t="s">
        <v>112</v>
      </c>
      <c r="B9" s="8" t="s">
        <v>782</v>
      </c>
      <c r="C9" s="5" t="s">
        <v>97</v>
      </c>
      <c r="D9" s="5">
        <f>IFERROR(SUMIF(Sales_Entry!D:D,A9,Sales_Entry!G:G),0)</f>
        <v>0</v>
      </c>
      <c r="E9" s="7">
        <f>IFERROR(SUMIF(Sales_Entry!D:D,A9,Sales_Entry!I:I),0)</f>
        <v>0</v>
      </c>
      <c r="F9" s="7">
        <f>IFERROR(SUMIF(Sales_Entry!D:D,A9,Sales_Entry!K:K),0)</f>
        <v>0</v>
      </c>
      <c r="G9" s="7">
        <f>E9-F9</f>
        <v>0</v>
      </c>
      <c r="H9" s="13">
        <f>IFERROR(G9/E9,0)</f>
        <v>0</v>
      </c>
    </row>
    <row r="10" spans="1:8" ht="19.5" customHeight="1">
      <c r="A10" s="2" t="s">
        <v>113</v>
      </c>
      <c r="B10" s="9" t="s">
        <v>114</v>
      </c>
      <c r="C10" s="2" t="s">
        <v>115</v>
      </c>
      <c r="D10" s="2">
        <f>IFERROR(SUMIF(Sales_Entry!D:D,A10,Sales_Entry!G:G),0)</f>
        <v>0</v>
      </c>
      <c r="E10" s="4">
        <f>IFERROR(SUMIF(Sales_Entry!D:D,A10,Sales_Entry!I:I),0)</f>
        <v>0</v>
      </c>
      <c r="F10" s="4">
        <f>IFERROR(SUMIF(Sales_Entry!D:D,A10,Sales_Entry!K:K),0)</f>
        <v>0</v>
      </c>
      <c r="G10" s="4">
        <f>E10-F10</f>
        <v>0</v>
      </c>
      <c r="H10" s="14">
        <f>IFERROR(G10/E10,0)</f>
        <v>0</v>
      </c>
    </row>
    <row r="11" spans="1:8" ht="19.5" customHeight="1">
      <c r="A11" s="5" t="s">
        <v>117</v>
      </c>
      <c r="B11" s="8" t="s">
        <v>118</v>
      </c>
      <c r="C11" s="5" t="s">
        <v>115</v>
      </c>
      <c r="D11" s="5">
        <f>IFERROR(SUMIF(Sales_Entry!D:D,A11,Sales_Entry!G:G),0)</f>
        <v>6</v>
      </c>
      <c r="E11" s="7">
        <f>IFERROR(SUMIF(Sales_Entry!D:D,A11,Sales_Entry!I:I),0)</f>
        <v>168</v>
      </c>
      <c r="F11" s="7">
        <f>IFERROR(SUMIF(Sales_Entry!D:D,A11,Sales_Entry!K:K),0)</f>
        <v>78</v>
      </c>
      <c r="G11" s="7">
        <f>E11-F11</f>
        <v>90</v>
      </c>
      <c r="H11" s="13">
        <f>IFERROR(G11/E11,0)</f>
        <v>0.5357142857142857</v>
      </c>
    </row>
    <row r="12" spans="1:8" ht="19.5" customHeight="1">
      <c r="A12" s="2" t="s">
        <v>120</v>
      </c>
      <c r="B12" s="9" t="s">
        <v>121</v>
      </c>
      <c r="C12" s="2" t="s">
        <v>115</v>
      </c>
      <c r="D12" s="2">
        <f>IFERROR(SUMIF(Sales_Entry!D:D,A12,Sales_Entry!G:G),0)</f>
        <v>8</v>
      </c>
      <c r="E12" s="4">
        <f>IFERROR(SUMIF(Sales_Entry!D:D,A12,Sales_Entry!I:I),0)</f>
        <v>336</v>
      </c>
      <c r="F12" s="4">
        <f>IFERROR(SUMIF(Sales_Entry!D:D,A12,Sales_Entry!K:K),0)</f>
        <v>160</v>
      </c>
      <c r="G12" s="4">
        <f>E12-F12</f>
        <v>176</v>
      </c>
      <c r="H12" s="14">
        <f>IFERROR(G12/E12,0)</f>
        <v>0.52380952380952384</v>
      </c>
    </row>
    <row r="13" spans="1:8" ht="19.5" customHeight="1">
      <c r="A13" s="5" t="s">
        <v>123</v>
      </c>
      <c r="B13" s="8" t="s">
        <v>124</v>
      </c>
      <c r="C13" s="5" t="s">
        <v>115</v>
      </c>
      <c r="D13" s="5">
        <f>IFERROR(SUMIF(Sales_Entry!D:D,A13,Sales_Entry!G:G),0)</f>
        <v>0</v>
      </c>
      <c r="E13" s="7">
        <f>IFERROR(SUMIF(Sales_Entry!D:D,A13,Sales_Entry!I:I),0)</f>
        <v>0</v>
      </c>
      <c r="F13" s="7">
        <f>IFERROR(SUMIF(Sales_Entry!D:D,A13,Sales_Entry!K:K),0)</f>
        <v>0</v>
      </c>
      <c r="G13" s="7">
        <f>E13-F13</f>
        <v>0</v>
      </c>
      <c r="H13" s="13">
        <f>IFERROR(G13/E13,0)</f>
        <v>0</v>
      </c>
    </row>
    <row r="14" spans="1:8" ht="19.5" customHeight="1">
      <c r="A14" s="2" t="s">
        <v>126</v>
      </c>
      <c r="B14" s="9" t="s">
        <v>127</v>
      </c>
      <c r="C14" s="2" t="s">
        <v>115</v>
      </c>
      <c r="D14" s="2">
        <f>IFERROR(SUMIF(Sales_Entry!D:D,A14,Sales_Entry!G:G),0)</f>
        <v>0</v>
      </c>
      <c r="E14" s="4">
        <f>IFERROR(SUMIF(Sales_Entry!D:D,A14,Sales_Entry!I:I),0)</f>
        <v>0</v>
      </c>
      <c r="F14" s="4">
        <f>IFERROR(SUMIF(Sales_Entry!D:D,A14,Sales_Entry!K:K),0)</f>
        <v>0</v>
      </c>
      <c r="G14" s="4">
        <f>E14-F14</f>
        <v>0</v>
      </c>
      <c r="H14" s="14">
        <f>IFERROR(G14/E14,0)</f>
        <v>0</v>
      </c>
    </row>
    <row r="15" spans="1:8" ht="19.5" customHeight="1">
      <c r="A15" s="5" t="s">
        <v>129</v>
      </c>
      <c r="B15" s="8" t="s">
        <v>130</v>
      </c>
      <c r="C15" s="5" t="s">
        <v>115</v>
      </c>
      <c r="D15" s="5">
        <f>IFERROR(SUMIF(Sales_Entry!D:D,A15,Sales_Entry!G:G),0)</f>
        <v>36</v>
      </c>
      <c r="E15" s="7">
        <f>IFERROR(SUMIF(Sales_Entry!D:D,A15,Sales_Entry!I:I),0)</f>
        <v>1980</v>
      </c>
      <c r="F15" s="7">
        <f>IFERROR(SUMIF(Sales_Entry!D:D,A15,Sales_Entry!K:K),0)</f>
        <v>936</v>
      </c>
      <c r="G15" s="7">
        <f>E15-F15</f>
        <v>1044</v>
      </c>
      <c r="H15" s="13">
        <f>IFERROR(G15/E15,0)</f>
        <v>0.52727272727272723</v>
      </c>
    </row>
    <row r="16" spans="1:8" ht="19.5" customHeight="1">
      <c r="A16" s="2" t="s">
        <v>131</v>
      </c>
      <c r="B16" s="9" t="s">
        <v>132</v>
      </c>
      <c r="C16" s="2" t="s">
        <v>133</v>
      </c>
      <c r="D16" s="2">
        <f>IFERROR(SUMIF(Sales_Entry!D:D,A16,Sales_Entry!G:G),0)</f>
        <v>53</v>
      </c>
      <c r="E16" s="4">
        <f>IFERROR(SUMIF(Sales_Entry!D:D,A16,Sales_Entry!I:I),0)</f>
        <v>3445</v>
      </c>
      <c r="F16" s="4">
        <f>IFERROR(SUMIF(Sales_Entry!D:D,A16,Sales_Entry!K:K),0)</f>
        <v>1643</v>
      </c>
      <c r="G16" s="4">
        <f>E16-F16</f>
        <v>1802</v>
      </c>
      <c r="H16" s="14">
        <f>IFERROR(G16/E16,0)</f>
        <v>0.52307692307692311</v>
      </c>
    </row>
    <row r="17" spans="1:8" ht="19.5" customHeight="1">
      <c r="A17" s="5" t="s">
        <v>134</v>
      </c>
      <c r="B17" s="8" t="s">
        <v>135</v>
      </c>
      <c r="C17" s="5" t="s">
        <v>133</v>
      </c>
      <c r="D17" s="5">
        <f>IFERROR(SUMIF(Sales_Entry!D:D,A17,Sales_Entry!G:G),0)</f>
        <v>0</v>
      </c>
      <c r="E17" s="7">
        <f>IFERROR(SUMIF(Sales_Entry!D:D,A17,Sales_Entry!I:I),0)</f>
        <v>0</v>
      </c>
      <c r="F17" s="7">
        <f>IFERROR(SUMIF(Sales_Entry!D:D,A17,Sales_Entry!K:K),0)</f>
        <v>0</v>
      </c>
      <c r="G17" s="7">
        <f>E17-F17</f>
        <v>0</v>
      </c>
      <c r="H17" s="13">
        <f>IFERROR(G17/E17,0)</f>
        <v>0</v>
      </c>
    </row>
    <row r="18" spans="1:8" ht="19.5" customHeight="1">
      <c r="A18" s="2" t="s">
        <v>136</v>
      </c>
      <c r="B18" s="9" t="s">
        <v>37</v>
      </c>
      <c r="C18" s="2" t="s">
        <v>133</v>
      </c>
      <c r="D18" s="2">
        <f>IFERROR(SUMIF(Sales_Entry!D:D,A18,Sales_Entry!G:G),0)</f>
        <v>110</v>
      </c>
      <c r="E18" s="4">
        <f>IFERROR(SUMIF(Sales_Entry!D:D,A18,Sales_Entry!I:I),0)</f>
        <v>4180</v>
      </c>
      <c r="F18" s="4">
        <f>IFERROR(SUMIF(Sales_Entry!D:D,A18,Sales_Entry!K:K),0)</f>
        <v>1980</v>
      </c>
      <c r="G18" s="4">
        <f>E18-F18</f>
        <v>2200</v>
      </c>
      <c r="H18" s="14">
        <f>IFERROR(G18/E18,0)</f>
        <v>0.52631578947368418</v>
      </c>
    </row>
    <row r="19" spans="1:8" ht="19.5" customHeight="1">
      <c r="A19" s="5" t="s">
        <v>137</v>
      </c>
      <c r="B19" s="8" t="s">
        <v>138</v>
      </c>
      <c r="C19" s="5" t="s">
        <v>133</v>
      </c>
      <c r="D19" s="5">
        <f>IFERROR(SUMIF(Sales_Entry!D:D,A19,Sales_Entry!G:G),0)</f>
        <v>7</v>
      </c>
      <c r="E19" s="7">
        <f>IFERROR(SUMIF(Sales_Entry!D:D,A19,Sales_Entry!I:I),0)</f>
        <v>315</v>
      </c>
      <c r="F19" s="7">
        <f>IFERROR(SUMIF(Sales_Entry!D:D,A19,Sales_Entry!K:K),0)</f>
        <v>147</v>
      </c>
      <c r="G19" s="7">
        <f>E19-F19</f>
        <v>168</v>
      </c>
      <c r="H19" s="13">
        <f>IFERROR(G19/E19,0)</f>
        <v>0.53333333333333333</v>
      </c>
    </row>
    <row r="20" spans="1:8" ht="19.5" customHeight="1">
      <c r="A20" s="2" t="s">
        <v>139</v>
      </c>
      <c r="B20" s="9" t="s">
        <v>140</v>
      </c>
      <c r="C20" s="2" t="s">
        <v>133</v>
      </c>
      <c r="D20" s="2">
        <f>IFERROR(SUMIF(Sales_Entry!D:D,A20,Sales_Entry!G:G),0)</f>
        <v>0</v>
      </c>
      <c r="E20" s="4">
        <f>IFERROR(SUMIF(Sales_Entry!D:D,A20,Sales_Entry!I:I),0)</f>
        <v>0</v>
      </c>
      <c r="F20" s="4">
        <f>IFERROR(SUMIF(Sales_Entry!D:D,A20,Sales_Entry!K:K),0)</f>
        <v>0</v>
      </c>
      <c r="G20" s="4">
        <f>E20-F20</f>
        <v>0</v>
      </c>
      <c r="H20" s="14">
        <f>IFERROR(G20/E20,0)</f>
        <v>0</v>
      </c>
    </row>
    <row r="21" spans="1:8" ht="19.5" customHeight="1">
      <c r="A21" s="5" t="s">
        <v>142</v>
      </c>
      <c r="B21" s="8" t="s">
        <v>143</v>
      </c>
      <c r="C21" s="5" t="s">
        <v>133</v>
      </c>
      <c r="D21" s="5">
        <f>IFERROR(SUMIF(Sales_Entry!D:D,A21,Sales_Entry!G:G),0)</f>
        <v>17</v>
      </c>
      <c r="E21" s="7">
        <f>IFERROR(SUMIF(Sales_Entry!D:D,A21,Sales_Entry!I:I),0)</f>
        <v>2040</v>
      </c>
      <c r="F21" s="7">
        <f>IFERROR(SUMIF(Sales_Entry!D:D,A21,Sales_Entry!K:K),0)</f>
        <v>986</v>
      </c>
      <c r="G21" s="7">
        <f>E21-F21</f>
        <v>1054</v>
      </c>
      <c r="H21" s="13">
        <f>IFERROR(G21/E21,0)</f>
        <v>0.51666666666666672</v>
      </c>
    </row>
    <row r="22" spans="1:8" ht="19.5" customHeight="1">
      <c r="A22" s="2" t="s">
        <v>144</v>
      </c>
      <c r="B22" s="9" t="s">
        <v>38</v>
      </c>
      <c r="C22" s="2" t="s">
        <v>145</v>
      </c>
      <c r="D22" s="2">
        <f>IFERROR(SUMIF(Sales_Entry!D:D,A22,Sales_Entry!G:G),0)</f>
        <v>116</v>
      </c>
      <c r="E22" s="4">
        <f>IFERROR(SUMIF(Sales_Entry!D:D,A22,Sales_Entry!I:I),0)</f>
        <v>4060</v>
      </c>
      <c r="F22" s="4">
        <f>IFERROR(SUMIF(Sales_Entry!D:D,A22,Sales_Entry!K:K),0)</f>
        <v>1856</v>
      </c>
      <c r="G22" s="4">
        <f>E22-F22</f>
        <v>2204</v>
      </c>
      <c r="H22" s="14">
        <f>IFERROR(G22/E22,0)</f>
        <v>0.54285714285714282</v>
      </c>
    </row>
    <row r="23" spans="1:8" ht="19.5" customHeight="1">
      <c r="A23" s="5" t="s">
        <v>146</v>
      </c>
      <c r="B23" s="8" t="s">
        <v>147</v>
      </c>
      <c r="C23" s="5" t="s">
        <v>145</v>
      </c>
      <c r="D23" s="5">
        <f>IFERROR(SUMIF(Sales_Entry!D:D,A23,Sales_Entry!G:G),0)</f>
        <v>63</v>
      </c>
      <c r="E23" s="7">
        <f>IFERROR(SUMIF(Sales_Entry!D:D,A23,Sales_Entry!I:I),0)</f>
        <v>4095</v>
      </c>
      <c r="F23" s="7">
        <f>IFERROR(SUMIF(Sales_Entry!D:D,A23,Sales_Entry!K:K),0)</f>
        <v>1953</v>
      </c>
      <c r="G23" s="7">
        <f>E23-F23</f>
        <v>2142</v>
      </c>
      <c r="H23" s="13">
        <f>IFERROR(G23/E23,0)</f>
        <v>0.52307692307692311</v>
      </c>
    </row>
    <row r="24" spans="1:8" ht="19.5" customHeight="1">
      <c r="A24" s="2" t="s">
        <v>148</v>
      </c>
      <c r="B24" s="9" t="s">
        <v>149</v>
      </c>
      <c r="C24" s="2" t="s">
        <v>145</v>
      </c>
      <c r="D24" s="2">
        <f>IFERROR(SUMIF(Sales_Entry!D:D,A24,Sales_Entry!G:G),0)</f>
        <v>29</v>
      </c>
      <c r="E24" s="4">
        <f>IFERROR(SUMIF(Sales_Entry!D:D,A24,Sales_Entry!I:I),0)</f>
        <v>1305</v>
      </c>
      <c r="F24" s="4">
        <f>IFERROR(SUMIF(Sales_Entry!D:D,A24,Sales_Entry!K:K),0)</f>
        <v>609</v>
      </c>
      <c r="G24" s="4">
        <f>E24-F24</f>
        <v>696</v>
      </c>
      <c r="H24" s="14">
        <f>IFERROR(G24/E24,0)</f>
        <v>0.53333333333333333</v>
      </c>
    </row>
    <row r="25" spans="1:8" ht="19.5" customHeight="1">
      <c r="A25" s="5" t="s">
        <v>150</v>
      </c>
      <c r="B25" s="8" t="s">
        <v>151</v>
      </c>
      <c r="C25" s="5" t="s">
        <v>145</v>
      </c>
      <c r="D25" s="5">
        <f>IFERROR(SUMIF(Sales_Entry!D:D,A25,Sales_Entry!G:G),0)</f>
        <v>0</v>
      </c>
      <c r="E25" s="7">
        <f>IFERROR(SUMIF(Sales_Entry!D:D,A25,Sales_Entry!I:I),0)</f>
        <v>0</v>
      </c>
      <c r="F25" s="7">
        <f>IFERROR(SUMIF(Sales_Entry!D:D,A25,Sales_Entry!K:K),0)</f>
        <v>0</v>
      </c>
      <c r="G25" s="7">
        <f>E25-F25</f>
        <v>0</v>
      </c>
      <c r="H25" s="13">
        <f>IFERROR(G25/E25,0)</f>
        <v>0</v>
      </c>
    </row>
    <row r="26" spans="1:8" ht="19.5" customHeight="1">
      <c r="A26" s="2" t="s">
        <v>152</v>
      </c>
      <c r="B26" s="9" t="s">
        <v>153</v>
      </c>
      <c r="C26" s="2" t="s">
        <v>145</v>
      </c>
      <c r="D26" s="2">
        <f>IFERROR(SUMIF(Sales_Entry!D:D,A26,Sales_Entry!G:G),0)</f>
        <v>17</v>
      </c>
      <c r="E26" s="4">
        <f>IFERROR(SUMIF(Sales_Entry!D:D,A26,Sales_Entry!I:I),0)</f>
        <v>476</v>
      </c>
      <c r="F26" s="4">
        <f>IFERROR(SUMIF(Sales_Entry!D:D,A26,Sales_Entry!K:K),0)</f>
        <v>221</v>
      </c>
      <c r="G26" s="4">
        <f>E26-F26</f>
        <v>255</v>
      </c>
      <c r="H26" s="14">
        <f>IFERROR(G26/E26,0)</f>
        <v>0.5357142857142857</v>
      </c>
    </row>
    <row r="27" spans="1:8" ht="19.5" customHeight="1">
      <c r="A27" s="5" t="s">
        <v>154</v>
      </c>
      <c r="B27" s="8" t="s">
        <v>155</v>
      </c>
      <c r="C27" s="5" t="s">
        <v>145</v>
      </c>
      <c r="D27" s="5">
        <f>IFERROR(SUMIF(Sales_Entry!D:D,A27,Sales_Entry!G:G),0)</f>
        <v>50</v>
      </c>
      <c r="E27" s="7">
        <f>IFERROR(SUMIF(Sales_Entry!D:D,A27,Sales_Entry!I:I),0)</f>
        <v>4250</v>
      </c>
      <c r="F27" s="7">
        <f>IFERROR(SUMIF(Sales_Entry!D:D,A27,Sales_Entry!K:K),0)</f>
        <v>2050</v>
      </c>
      <c r="G27" s="7">
        <f>E27-F27</f>
        <v>2200</v>
      </c>
      <c r="H27" s="13">
        <f>IFERROR(G27/E27,0)</f>
        <v>0.51764705882352946</v>
      </c>
    </row>
    <row r="28" spans="1:8" ht="19.5" customHeight="1">
      <c r="A28" s="2" t="s">
        <v>156</v>
      </c>
      <c r="B28" s="9" t="s">
        <v>157</v>
      </c>
      <c r="C28" s="2" t="s">
        <v>145</v>
      </c>
      <c r="D28" s="2">
        <f>IFERROR(SUMIF(Sales_Entry!D:D,A28,Sales_Entry!G:G),0)</f>
        <v>0</v>
      </c>
      <c r="E28" s="4">
        <f>IFERROR(SUMIF(Sales_Entry!D:D,A28,Sales_Entry!I:I),0)</f>
        <v>0</v>
      </c>
      <c r="F28" s="4">
        <f>IFERROR(SUMIF(Sales_Entry!D:D,A28,Sales_Entry!K:K),0)</f>
        <v>0</v>
      </c>
      <c r="G28" s="4">
        <f>E28-F28</f>
        <v>0</v>
      </c>
      <c r="H28" s="14">
        <f>IFERROR(G28/E28,0)</f>
        <v>0</v>
      </c>
    </row>
    <row r="29" spans="1:8" ht="19.5" customHeight="1">
      <c r="A29" s="5" t="s">
        <v>158</v>
      </c>
      <c r="B29" s="8" t="s">
        <v>159</v>
      </c>
      <c r="C29" s="5" t="s">
        <v>160</v>
      </c>
      <c r="D29" s="5">
        <f>IFERROR(SUMIF(Sales_Entry!D:D,A29,Sales_Entry!G:G),0)</f>
        <v>32</v>
      </c>
      <c r="E29" s="7">
        <f>IFERROR(SUMIF(Sales_Entry!D:D,A29,Sales_Entry!I:I),0)</f>
        <v>896</v>
      </c>
      <c r="F29" s="7">
        <f>IFERROR(SUMIF(Sales_Entry!D:D,A29,Sales_Entry!K:K),0)</f>
        <v>416</v>
      </c>
      <c r="G29" s="7">
        <f>E29-F29</f>
        <v>480</v>
      </c>
      <c r="H29" s="13">
        <f>IFERROR(G29/E29,0)</f>
        <v>0.5357142857142857</v>
      </c>
    </row>
    <row r="30" spans="1:8" ht="19.5" customHeight="1">
      <c r="A30" s="2" t="s">
        <v>161</v>
      </c>
      <c r="B30" s="9" t="s">
        <v>162</v>
      </c>
      <c r="C30" s="2" t="s">
        <v>160</v>
      </c>
      <c r="D30" s="2">
        <f>IFERROR(SUMIF(Sales_Entry!D:D,A30,Sales_Entry!G:G),0)</f>
        <v>3</v>
      </c>
      <c r="E30" s="4">
        <f>IFERROR(SUMIF(Sales_Entry!D:D,A30,Sales_Entry!I:I),0)</f>
        <v>135</v>
      </c>
      <c r="F30" s="4">
        <f>IFERROR(SUMIF(Sales_Entry!D:D,A30,Sales_Entry!K:K),0)</f>
        <v>63</v>
      </c>
      <c r="G30" s="4">
        <f>E30-F30</f>
        <v>72</v>
      </c>
      <c r="H30" s="14">
        <f>IFERROR(G30/E30,0)</f>
        <v>0.53333333333333333</v>
      </c>
    </row>
    <row r="31" spans="1:8" ht="19.5" customHeight="1">
      <c r="A31" s="5" t="s">
        <v>163</v>
      </c>
      <c r="B31" s="8" t="s">
        <v>164</v>
      </c>
      <c r="C31" s="5" t="s">
        <v>160</v>
      </c>
      <c r="D31" s="5">
        <f>IFERROR(SUMIF(Sales_Entry!D:D,A31,Sales_Entry!G:G),0)</f>
        <v>0</v>
      </c>
      <c r="E31" s="7">
        <f>IFERROR(SUMIF(Sales_Entry!D:D,A31,Sales_Entry!I:I),0)</f>
        <v>0</v>
      </c>
      <c r="F31" s="7">
        <f>IFERROR(SUMIF(Sales_Entry!D:D,A31,Sales_Entry!K:K),0)</f>
        <v>0</v>
      </c>
      <c r="G31" s="7">
        <f>E31-F31</f>
        <v>0</v>
      </c>
      <c r="H31" s="13">
        <f>IFERROR(G31/E31,0)</f>
        <v>0</v>
      </c>
    </row>
    <row r="32" spans="1:8" ht="19.5" customHeight="1">
      <c r="A32" s="2" t="s">
        <v>165</v>
      </c>
      <c r="B32" s="9" t="s">
        <v>166</v>
      </c>
      <c r="C32" s="2" t="s">
        <v>160</v>
      </c>
      <c r="D32" s="2">
        <f>IFERROR(SUMIF(Sales_Entry!D:D,A32,Sales_Entry!G:G),0)</f>
        <v>7</v>
      </c>
      <c r="E32" s="4">
        <f>IFERROR(SUMIF(Sales_Entry!D:D,A32,Sales_Entry!I:I),0)</f>
        <v>1995</v>
      </c>
      <c r="F32" s="4">
        <f>IFERROR(SUMIF(Sales_Entry!D:D,A32,Sales_Entry!K:K),0)</f>
        <v>980</v>
      </c>
      <c r="G32" s="4">
        <f>E32-F32</f>
        <v>1015</v>
      </c>
      <c r="H32" s="14">
        <f>IFERROR(G32/E32,0)</f>
        <v>0.50877192982456143</v>
      </c>
    </row>
    <row r="33" spans="1:8" ht="19.5" customHeight="1">
      <c r="A33" s="5" t="s">
        <v>167</v>
      </c>
      <c r="B33" s="8" t="s">
        <v>168</v>
      </c>
      <c r="C33" s="5" t="s">
        <v>160</v>
      </c>
      <c r="D33" s="5">
        <f>IFERROR(SUMIF(Sales_Entry!D:D,A33,Sales_Entry!G:G),0)</f>
        <v>6</v>
      </c>
      <c r="E33" s="7">
        <f>IFERROR(SUMIF(Sales_Entry!D:D,A33,Sales_Entry!I:I),0)</f>
        <v>390</v>
      </c>
      <c r="F33" s="7">
        <f>IFERROR(SUMIF(Sales_Entry!D:D,A33,Sales_Entry!K:K),0)</f>
        <v>186</v>
      </c>
      <c r="G33" s="7">
        <f>E33-F33</f>
        <v>204</v>
      </c>
      <c r="H33" s="13">
        <f>IFERROR(G33/E33,0)</f>
        <v>0.52307692307692311</v>
      </c>
    </row>
    <row r="34" spans="1:8" ht="19.5" customHeight="1">
      <c r="A34" s="2" t="s">
        <v>169</v>
      </c>
      <c r="B34" s="9" t="s">
        <v>170</v>
      </c>
      <c r="C34" s="2" t="s">
        <v>160</v>
      </c>
      <c r="D34" s="2">
        <f>IFERROR(SUMIF(Sales_Entry!D:D,A34,Sales_Entry!G:G),0)</f>
        <v>0</v>
      </c>
      <c r="E34" s="4">
        <f>IFERROR(SUMIF(Sales_Entry!D:D,A34,Sales_Entry!I:I),0)</f>
        <v>0</v>
      </c>
      <c r="F34" s="4">
        <f>IFERROR(SUMIF(Sales_Entry!D:D,A34,Sales_Entry!K:K),0)</f>
        <v>0</v>
      </c>
      <c r="G34" s="4">
        <f>E34-F34</f>
        <v>0</v>
      </c>
      <c r="H34" s="14">
        <f>IFERROR(G34/E34,0)</f>
        <v>0</v>
      </c>
    </row>
    <row r="35" spans="1:8" ht="19.5" customHeight="1">
      <c r="A35" s="5" t="s">
        <v>172</v>
      </c>
      <c r="B35" s="8" t="s">
        <v>173</v>
      </c>
      <c r="C35" s="5" t="s">
        <v>174</v>
      </c>
      <c r="D35" s="5">
        <f>IFERROR(SUMIF(Sales_Entry!D:D,A35,Sales_Entry!G:G),0)</f>
        <v>0</v>
      </c>
      <c r="E35" s="7">
        <f>IFERROR(SUMIF(Sales_Entry!D:D,A35,Sales_Entry!I:I),0)</f>
        <v>0</v>
      </c>
      <c r="F35" s="7">
        <f>IFERROR(SUMIF(Sales_Entry!D:D,A35,Sales_Entry!K:K),0)</f>
        <v>0</v>
      </c>
      <c r="G35" s="7">
        <f>E35-F35</f>
        <v>0</v>
      </c>
      <c r="H35" s="13">
        <f>IFERROR(G35/E35,0)</f>
        <v>0</v>
      </c>
    </row>
    <row r="36" spans="1:8" ht="19.5" customHeight="1">
      <c r="A36" s="2" t="s">
        <v>175</v>
      </c>
      <c r="B36" s="9" t="s">
        <v>176</v>
      </c>
      <c r="C36" s="2" t="s">
        <v>174</v>
      </c>
      <c r="D36" s="2">
        <f>IFERROR(SUMIF(Sales_Entry!D:D,A36,Sales_Entry!G:G),0)</f>
        <v>36</v>
      </c>
      <c r="E36" s="4">
        <f>IFERROR(SUMIF(Sales_Entry!D:D,A36,Sales_Entry!I:I),0)</f>
        <v>900</v>
      </c>
      <c r="F36" s="4">
        <f>IFERROR(SUMIF(Sales_Entry!D:D,A36,Sales_Entry!K:K),0)</f>
        <v>432</v>
      </c>
      <c r="G36" s="4">
        <f>E36-F36</f>
        <v>468</v>
      </c>
      <c r="H36" s="14">
        <f>IFERROR(G36/E36,0)</f>
        <v>0.52</v>
      </c>
    </row>
    <row r="37" spans="1:8" ht="19.5" customHeight="1">
      <c r="A37" s="5" t="s">
        <v>177</v>
      </c>
      <c r="B37" s="8" t="s">
        <v>178</v>
      </c>
      <c r="C37" s="5" t="s">
        <v>174</v>
      </c>
      <c r="D37" s="5">
        <f>IFERROR(SUMIF(Sales_Entry!D:D,A37,Sales_Entry!G:G),0)</f>
        <v>0</v>
      </c>
      <c r="E37" s="7">
        <f>IFERROR(SUMIF(Sales_Entry!D:D,A37,Sales_Entry!I:I),0)</f>
        <v>0</v>
      </c>
      <c r="F37" s="7">
        <f>IFERROR(SUMIF(Sales_Entry!D:D,A37,Sales_Entry!K:K),0)</f>
        <v>0</v>
      </c>
      <c r="G37" s="7">
        <f>E37-F37</f>
        <v>0</v>
      </c>
      <c r="H37" s="13">
        <f>IFERROR(G37/E37,0)</f>
        <v>0</v>
      </c>
    </row>
    <row r="38" spans="1:8" ht="19.5" customHeight="1">
      <c r="A38" s="2" t="s">
        <v>179</v>
      </c>
      <c r="B38" s="9" t="s">
        <v>180</v>
      </c>
      <c r="C38" s="2" t="s">
        <v>174</v>
      </c>
      <c r="D38" s="2">
        <f>IFERROR(SUMIF(Sales_Entry!D:D,A38,Sales_Entry!G:G),0)</f>
        <v>0</v>
      </c>
      <c r="E38" s="4">
        <f>IFERROR(SUMIF(Sales_Entry!D:D,A38,Sales_Entry!I:I),0)</f>
        <v>0</v>
      </c>
      <c r="F38" s="4">
        <f>IFERROR(SUMIF(Sales_Entry!D:D,A38,Sales_Entry!K:K),0)</f>
        <v>0</v>
      </c>
      <c r="G38" s="4">
        <f>E38-F38</f>
        <v>0</v>
      </c>
      <c r="H38" s="14">
        <f>IFERROR(G38/E38,0)</f>
        <v>0</v>
      </c>
    </row>
    <row r="39" spans="1:8" ht="19.5" customHeight="1">
      <c r="A39" s="5" t="s">
        <v>181</v>
      </c>
      <c r="B39" s="8" t="s">
        <v>182</v>
      </c>
      <c r="C39" s="5" t="s">
        <v>174</v>
      </c>
      <c r="D39" s="5">
        <f>IFERROR(SUMIF(Sales_Entry!D:D,A39,Sales_Entry!G:G),0)</f>
        <v>46</v>
      </c>
      <c r="E39" s="7">
        <f>IFERROR(SUMIF(Sales_Entry!D:D,A39,Sales_Entry!I:I),0)</f>
        <v>3910</v>
      </c>
      <c r="F39" s="7">
        <f>IFERROR(SUMIF(Sales_Entry!D:D,A39,Sales_Entry!K:K),0)</f>
        <v>1886</v>
      </c>
      <c r="G39" s="7">
        <f>E39-F39</f>
        <v>2024</v>
      </c>
      <c r="H39" s="13">
        <f>IFERROR(G39/E39,0)</f>
        <v>0.51764705882352946</v>
      </c>
    </row>
    <row r="40" spans="1:8" ht="19.5" customHeight="1">
      <c r="A40" s="2" t="s">
        <v>183</v>
      </c>
      <c r="B40" s="9" t="s">
        <v>184</v>
      </c>
      <c r="C40" s="2" t="s">
        <v>174</v>
      </c>
      <c r="D40" s="2">
        <f>IFERROR(SUMIF(Sales_Entry!D:D,A40,Sales_Entry!G:G),0)</f>
        <v>0</v>
      </c>
      <c r="E40" s="4">
        <f>IFERROR(SUMIF(Sales_Entry!D:D,A40,Sales_Entry!I:I),0)</f>
        <v>0</v>
      </c>
      <c r="F40" s="4">
        <f>IFERROR(SUMIF(Sales_Entry!D:D,A40,Sales_Entry!K:K),0)</f>
        <v>0</v>
      </c>
      <c r="G40" s="4">
        <f>E40-F40</f>
        <v>0</v>
      </c>
      <c r="H40" s="14">
        <f>IFERROR(G40/E40,0)</f>
        <v>0</v>
      </c>
    </row>
    <row r="41" spans="1:8" ht="19.5" customHeight="1">
      <c r="A41" s="5" t="s">
        <v>185</v>
      </c>
      <c r="B41" s="8" t="s">
        <v>186</v>
      </c>
      <c r="C41" s="5" t="s">
        <v>187</v>
      </c>
      <c r="D41" s="5">
        <f>IFERROR(SUMIF(Sales_Entry!D:D,A41,Sales_Entry!G:G),0)</f>
        <v>0</v>
      </c>
      <c r="E41" s="7">
        <f>IFERROR(SUMIF(Sales_Entry!D:D,A41,Sales_Entry!I:I),0)</f>
        <v>0</v>
      </c>
      <c r="F41" s="7">
        <f>IFERROR(SUMIF(Sales_Entry!D:D,A41,Sales_Entry!K:K),0)</f>
        <v>0</v>
      </c>
      <c r="G41" s="7">
        <f>E41-F41</f>
        <v>0</v>
      </c>
      <c r="H41" s="13">
        <f>IFERROR(G41/E41,0)</f>
        <v>0</v>
      </c>
    </row>
    <row r="42" spans="1:8" ht="19.5" customHeight="1">
      <c r="A42" s="2" t="s">
        <v>188</v>
      </c>
      <c r="B42" s="9" t="s">
        <v>189</v>
      </c>
      <c r="C42" s="2" t="s">
        <v>187</v>
      </c>
      <c r="D42" s="2">
        <f>IFERROR(SUMIF(Sales_Entry!D:D,A42,Sales_Entry!G:G),0)</f>
        <v>6</v>
      </c>
      <c r="E42" s="4">
        <f>IFERROR(SUMIF(Sales_Entry!D:D,A42,Sales_Entry!I:I),0)</f>
        <v>168</v>
      </c>
      <c r="F42" s="4">
        <f>IFERROR(SUMIF(Sales_Entry!D:D,A42,Sales_Entry!K:K),0)</f>
        <v>78</v>
      </c>
      <c r="G42" s="4">
        <f>E42-F42</f>
        <v>90</v>
      </c>
      <c r="H42" s="14">
        <f>IFERROR(G42/E42,0)</f>
        <v>0.5357142857142857</v>
      </c>
    </row>
    <row r="43" spans="1:8" ht="19.5" customHeight="1">
      <c r="A43" s="5" t="s">
        <v>190</v>
      </c>
      <c r="B43" s="8" t="s">
        <v>191</v>
      </c>
      <c r="C43" s="5" t="s">
        <v>187</v>
      </c>
      <c r="D43" s="5">
        <f>IFERROR(SUMIF(Sales_Entry!D:D,A43,Sales_Entry!G:G),0)</f>
        <v>0</v>
      </c>
      <c r="E43" s="7">
        <f>IFERROR(SUMIF(Sales_Entry!D:D,A43,Sales_Entry!I:I),0)</f>
        <v>0</v>
      </c>
      <c r="F43" s="7">
        <f>IFERROR(SUMIF(Sales_Entry!D:D,A43,Sales_Entry!K:K),0)</f>
        <v>0</v>
      </c>
      <c r="G43" s="7">
        <f>E43-F43</f>
        <v>0</v>
      </c>
      <c r="H43" s="13">
        <f>IFERROR(G43/E43,0)</f>
        <v>0</v>
      </c>
    </row>
    <row r="44" spans="1:8" ht="19.5" customHeight="1">
      <c r="A44" s="2" t="s">
        <v>192</v>
      </c>
      <c r="B44" s="9" t="s">
        <v>193</v>
      </c>
      <c r="C44" s="2" t="s">
        <v>187</v>
      </c>
      <c r="D44" s="2">
        <f>IFERROR(SUMIF(Sales_Entry!D:D,A44,Sales_Entry!G:G),0)</f>
        <v>10</v>
      </c>
      <c r="E44" s="4">
        <f>IFERROR(SUMIF(Sales_Entry!D:D,A44,Sales_Entry!I:I),0)</f>
        <v>150</v>
      </c>
      <c r="F44" s="4">
        <f>IFERROR(SUMIF(Sales_Entry!D:D,A44,Sales_Entry!K:K),0)</f>
        <v>70</v>
      </c>
      <c r="G44" s="4">
        <f>E44-F44</f>
        <v>80</v>
      </c>
      <c r="H44" s="14">
        <f>IFERROR(G44/E44,0)</f>
        <v>0.53333333333333333</v>
      </c>
    </row>
    <row r="45" spans="1:8" ht="19.5" customHeight="1">
      <c r="A45" s="5" t="s">
        <v>194</v>
      </c>
      <c r="B45" s="8" t="s">
        <v>195</v>
      </c>
      <c r="C45" s="5" t="s">
        <v>187</v>
      </c>
      <c r="D45" s="5">
        <f>IFERROR(SUMIF(Sales_Entry!D:D,A45,Sales_Entry!G:G),0)</f>
        <v>0</v>
      </c>
      <c r="E45" s="7">
        <f>IFERROR(SUMIF(Sales_Entry!D:D,A45,Sales_Entry!I:I),0)</f>
        <v>0</v>
      </c>
      <c r="F45" s="7">
        <f>IFERROR(SUMIF(Sales_Entry!D:D,A45,Sales_Entry!K:K),0)</f>
        <v>0</v>
      </c>
      <c r="G45" s="7">
        <f>E45-F45</f>
        <v>0</v>
      </c>
      <c r="H45" s="13">
        <f>IFERROR(G45/E45,0)</f>
        <v>0</v>
      </c>
    </row>
    <row r="46" spans="1:8" ht="19.5" customHeight="1">
      <c r="A46" s="2" t="s">
        <v>196</v>
      </c>
      <c r="B46" s="9" t="s">
        <v>197</v>
      </c>
      <c r="C46" s="2" t="s">
        <v>198</v>
      </c>
      <c r="D46" s="2">
        <f>IFERROR(SUMIF(Sales_Entry!D:D,A46,Sales_Entry!G:G),0)</f>
        <v>66</v>
      </c>
      <c r="E46" s="4">
        <f>IFERROR(SUMIF(Sales_Entry!D:D,A46,Sales_Entry!I:I),0)</f>
        <v>12210</v>
      </c>
      <c r="F46" s="4">
        <f>IFERROR(SUMIF(Sales_Entry!D:D,A46,Sales_Entry!K:K),0)</f>
        <v>5940</v>
      </c>
      <c r="G46" s="4">
        <f>E46-F46</f>
        <v>6270</v>
      </c>
      <c r="H46" s="14">
        <f>IFERROR(G46/E46,0)</f>
        <v>0.51351351351351349</v>
      </c>
    </row>
    <row r="47" spans="1:8" ht="19.5" customHeight="1">
      <c r="A47" s="5" t="s">
        <v>200</v>
      </c>
      <c r="B47" s="8" t="s">
        <v>201</v>
      </c>
      <c r="C47" s="5" t="s">
        <v>198</v>
      </c>
      <c r="D47" s="5">
        <f>IFERROR(SUMIF(Sales_Entry!D:D,A47,Sales_Entry!G:G),0)</f>
        <v>0</v>
      </c>
      <c r="E47" s="7">
        <f>IFERROR(SUMIF(Sales_Entry!D:D,A47,Sales_Entry!I:I),0)</f>
        <v>0</v>
      </c>
      <c r="F47" s="7">
        <f>IFERROR(SUMIF(Sales_Entry!D:D,A47,Sales_Entry!K:K),0)</f>
        <v>0</v>
      </c>
      <c r="G47" s="7">
        <f>E47-F47</f>
        <v>0</v>
      </c>
      <c r="H47" s="13">
        <f>IFERROR(G47/E47,0)</f>
        <v>0</v>
      </c>
    </row>
    <row r="48" spans="1:8" ht="19.5" customHeight="1">
      <c r="A48" s="2" t="s">
        <v>202</v>
      </c>
      <c r="B48" s="9" t="s">
        <v>203</v>
      </c>
      <c r="C48" s="2" t="s">
        <v>198</v>
      </c>
      <c r="D48" s="2">
        <f>IFERROR(SUMIF(Sales_Entry!D:D,A48,Sales_Entry!G:G),0)</f>
        <v>0</v>
      </c>
      <c r="E48" s="4">
        <f>IFERROR(SUMIF(Sales_Entry!D:D,A48,Sales_Entry!I:I),0)</f>
        <v>0</v>
      </c>
      <c r="F48" s="4">
        <f>IFERROR(SUMIF(Sales_Entry!D:D,A48,Sales_Entry!K:K),0)</f>
        <v>0</v>
      </c>
      <c r="G48" s="4">
        <f>E48-F48</f>
        <v>0</v>
      </c>
      <c r="H48" s="14">
        <f>IFERROR(G48/E48,0)</f>
        <v>0</v>
      </c>
    </row>
    <row r="49" spans="1:8" ht="19.5" customHeight="1">
      <c r="A49" s="5" t="s">
        <v>204</v>
      </c>
      <c r="B49" s="8" t="s">
        <v>205</v>
      </c>
      <c r="C49" s="5" t="s">
        <v>198</v>
      </c>
      <c r="D49" s="5">
        <f>IFERROR(SUMIF(Sales_Entry!D:D,A49,Sales_Entry!G:G),0)</f>
        <v>0</v>
      </c>
      <c r="E49" s="7">
        <f>IFERROR(SUMIF(Sales_Entry!D:D,A49,Sales_Entry!I:I),0)</f>
        <v>0</v>
      </c>
      <c r="F49" s="7">
        <f>IFERROR(SUMIF(Sales_Entry!D:D,A49,Sales_Entry!K:K),0)</f>
        <v>0</v>
      </c>
      <c r="G49" s="7">
        <f>E49-F49</f>
        <v>0</v>
      </c>
      <c r="H49" s="13">
        <f>IFERROR(G49/E49,0)</f>
        <v>0</v>
      </c>
    </row>
    <row r="50" spans="1:8" ht="19.5" customHeight="1">
      <c r="A50" s="2" t="s">
        <v>206</v>
      </c>
      <c r="B50" s="9" t="s">
        <v>207</v>
      </c>
      <c r="C50" s="2" t="s">
        <v>198</v>
      </c>
      <c r="D50" s="2">
        <f>IFERROR(SUMIF(Sales_Entry!D:D,A50,Sales_Entry!G:G),0)</f>
        <v>0</v>
      </c>
      <c r="E50" s="4">
        <f>IFERROR(SUMIF(Sales_Entry!D:D,A50,Sales_Entry!I:I),0)</f>
        <v>0</v>
      </c>
      <c r="F50" s="4">
        <f>IFERROR(SUMIF(Sales_Entry!D:D,A50,Sales_Entry!K:K),0)</f>
        <v>0</v>
      </c>
      <c r="G50" s="4">
        <f>E50-F50</f>
        <v>0</v>
      </c>
      <c r="H50" s="14">
        <f>IFERROR(G50/E50,0)</f>
        <v>0</v>
      </c>
    </row>
    <row r="51" spans="1:8" ht="19.5" customHeight="1">
      <c r="A51" s="5" t="s">
        <v>209</v>
      </c>
      <c r="B51" s="8" t="s">
        <v>210</v>
      </c>
      <c r="C51" s="5" t="s">
        <v>211</v>
      </c>
      <c r="D51" s="5">
        <f>IFERROR(SUMIF(Sales_Entry!D:D,A51,Sales_Entry!G:G),0)</f>
        <v>0</v>
      </c>
      <c r="E51" s="7">
        <f>IFERROR(SUMIF(Sales_Entry!D:D,A51,Sales_Entry!I:I),0)</f>
        <v>0</v>
      </c>
      <c r="F51" s="7">
        <f>IFERROR(SUMIF(Sales_Entry!D:D,A51,Sales_Entry!K:K),0)</f>
        <v>0</v>
      </c>
      <c r="G51" s="7">
        <f>E51-F51</f>
        <v>0</v>
      </c>
      <c r="H51" s="13">
        <f>IFERROR(G51/E51,0)</f>
        <v>0</v>
      </c>
    </row>
    <row r="52" spans="1:8" ht="19.5" customHeight="1">
      <c r="A52" s="2" t="s">
        <v>213</v>
      </c>
      <c r="B52" s="9" t="s">
        <v>214</v>
      </c>
      <c r="C52" s="2" t="s">
        <v>211</v>
      </c>
      <c r="D52" s="2">
        <f>IFERROR(SUMIF(Sales_Entry!D:D,A52,Sales_Entry!G:G),0)</f>
        <v>0</v>
      </c>
      <c r="E52" s="4">
        <f>IFERROR(SUMIF(Sales_Entry!D:D,A52,Sales_Entry!I:I),0)</f>
        <v>0</v>
      </c>
      <c r="F52" s="4">
        <f>IFERROR(SUMIF(Sales_Entry!D:D,A52,Sales_Entry!K:K),0)</f>
        <v>0</v>
      </c>
      <c r="G52" s="4">
        <f>E52-F52</f>
        <v>0</v>
      </c>
      <c r="H52" s="14">
        <f>IFERROR(G52/E52,0)</f>
        <v>0</v>
      </c>
    </row>
    <row r="53" spans="1:8" ht="19.5" customHeight="1">
      <c r="A53" s="5" t="s">
        <v>215</v>
      </c>
      <c r="B53" s="8" t="s">
        <v>216</v>
      </c>
      <c r="C53" s="5" t="s">
        <v>211</v>
      </c>
      <c r="D53" s="5">
        <f>IFERROR(SUMIF(Sales_Entry!D:D,A53,Sales_Entry!G:G),0)</f>
        <v>39</v>
      </c>
      <c r="E53" s="7">
        <f>IFERROR(SUMIF(Sales_Entry!D:D,A53,Sales_Entry!I:I),0)</f>
        <v>1365</v>
      </c>
      <c r="F53" s="7">
        <f>IFERROR(SUMIF(Sales_Entry!D:D,A53,Sales_Entry!K:K),0)</f>
        <v>663</v>
      </c>
      <c r="G53" s="7">
        <f>E53-F53</f>
        <v>702</v>
      </c>
      <c r="H53" s="13">
        <f>IFERROR(G53/E53,0)</f>
        <v>0.51428571428571423</v>
      </c>
    </row>
    <row r="54" spans="1:8" ht="19.5" customHeight="1">
      <c r="A54" s="2" t="s">
        <v>217</v>
      </c>
      <c r="B54" s="9" t="s">
        <v>35</v>
      </c>
      <c r="C54" s="2" t="s">
        <v>211</v>
      </c>
      <c r="D54" s="2">
        <f>IFERROR(SUMIF(Sales_Entry!D:D,A54,Sales_Entry!G:G),0)</f>
        <v>96</v>
      </c>
      <c r="E54" s="4">
        <f>IFERROR(SUMIF(Sales_Entry!D:D,A54,Sales_Entry!I:I),0)</f>
        <v>4320</v>
      </c>
      <c r="F54" s="4">
        <f>IFERROR(SUMIF(Sales_Entry!D:D,A54,Sales_Entry!K:K),0)</f>
        <v>2016</v>
      </c>
      <c r="G54" s="4">
        <f>E54-F54</f>
        <v>2304</v>
      </c>
      <c r="H54" s="14">
        <f>IFERROR(G54/E54,0)</f>
        <v>0.53333333333333333</v>
      </c>
    </row>
    <row r="55" spans="1:8" ht="19.5" customHeight="1">
      <c r="A55" s="5" t="s">
        <v>218</v>
      </c>
      <c r="B55" s="8" t="s">
        <v>219</v>
      </c>
      <c r="C55" s="5" t="s">
        <v>211</v>
      </c>
      <c r="D55" s="5">
        <f>IFERROR(SUMIF(Sales_Entry!D:D,A55,Sales_Entry!G:G),0)</f>
        <v>0</v>
      </c>
      <c r="E55" s="7">
        <f>IFERROR(SUMIF(Sales_Entry!D:D,A55,Sales_Entry!I:I),0)</f>
        <v>0</v>
      </c>
      <c r="F55" s="7">
        <f>IFERROR(SUMIF(Sales_Entry!D:D,A55,Sales_Entry!K:K),0)</f>
        <v>0</v>
      </c>
      <c r="G55" s="7">
        <f>E55-F55</f>
        <v>0</v>
      </c>
      <c r="H55" s="13">
        <f>IFERROR(G55/E55,0)</f>
        <v>0</v>
      </c>
    </row>
    <row r="56" spans="1:8" ht="19.5" customHeight="1">
      <c r="A56" s="2" t="s">
        <v>220</v>
      </c>
      <c r="B56" s="9" t="s">
        <v>221</v>
      </c>
      <c r="C56" s="2" t="s">
        <v>211</v>
      </c>
      <c r="D56" s="2">
        <f>IFERROR(SUMIF(Sales_Entry!D:D,A56,Sales_Entry!G:G),0)</f>
        <v>8</v>
      </c>
      <c r="E56" s="4">
        <f>IFERROR(SUMIF(Sales_Entry!D:D,A56,Sales_Entry!I:I),0)</f>
        <v>600</v>
      </c>
      <c r="F56" s="4">
        <f>IFERROR(SUMIF(Sales_Entry!D:D,A56,Sales_Entry!K:K),0)</f>
        <v>288</v>
      </c>
      <c r="G56" s="4">
        <f>E56-F56</f>
        <v>312</v>
      </c>
      <c r="H56" s="14">
        <f>IFERROR(G56/E56,0)</f>
        <v>0.52</v>
      </c>
    </row>
    <row r="57" spans="1:8" ht="19.5" customHeight="1">
      <c r="A57" s="5" t="s">
        <v>222</v>
      </c>
      <c r="B57" s="8" t="s">
        <v>223</v>
      </c>
      <c r="C57" s="5" t="s">
        <v>224</v>
      </c>
      <c r="D57" s="5">
        <f>IFERROR(SUMIF(Sales_Entry!D:D,A57,Sales_Entry!G:G),0)</f>
        <v>0</v>
      </c>
      <c r="E57" s="7">
        <f>IFERROR(SUMIF(Sales_Entry!D:D,A57,Sales_Entry!I:I),0)</f>
        <v>0</v>
      </c>
      <c r="F57" s="7">
        <f>IFERROR(SUMIF(Sales_Entry!D:D,A57,Sales_Entry!K:K),0)</f>
        <v>0</v>
      </c>
      <c r="G57" s="7">
        <f>E57-F57</f>
        <v>0</v>
      </c>
      <c r="H57" s="13">
        <f>IFERROR(G57/E57,0)</f>
        <v>0</v>
      </c>
    </row>
    <row r="58" spans="1:8" ht="19.5" customHeight="1">
      <c r="A58" s="2" t="s">
        <v>226</v>
      </c>
      <c r="B58" s="9" t="s">
        <v>227</v>
      </c>
      <c r="C58" s="2" t="s">
        <v>224</v>
      </c>
      <c r="D58" s="2">
        <f>IFERROR(SUMIF(Sales_Entry!D:D,A58,Sales_Entry!G:G),0)</f>
        <v>36</v>
      </c>
      <c r="E58" s="4">
        <f>IFERROR(SUMIF(Sales_Entry!D:D,A58,Sales_Entry!I:I),0)</f>
        <v>3060</v>
      </c>
      <c r="F58" s="4">
        <f>IFERROR(SUMIF(Sales_Entry!D:D,A58,Sales_Entry!K:K),0)</f>
        <v>1476</v>
      </c>
      <c r="G58" s="4">
        <f>E58-F58</f>
        <v>1584</v>
      </c>
      <c r="H58" s="14">
        <f>IFERROR(G58/E58,0)</f>
        <v>0.51764705882352946</v>
      </c>
    </row>
    <row r="59" spans="1:8" ht="19.5" customHeight="1">
      <c r="A59" s="5" t="s">
        <v>229</v>
      </c>
      <c r="B59" s="8" t="s">
        <v>230</v>
      </c>
      <c r="C59" s="5" t="s">
        <v>224</v>
      </c>
      <c r="D59" s="5">
        <f>IFERROR(SUMIF(Sales_Entry!D:D,A59,Sales_Entry!G:G),0)</f>
        <v>46</v>
      </c>
      <c r="E59" s="7">
        <f>IFERROR(SUMIF(Sales_Entry!D:D,A59,Sales_Entry!I:I),0)</f>
        <v>3450</v>
      </c>
      <c r="F59" s="7">
        <f>IFERROR(SUMIF(Sales_Entry!D:D,A59,Sales_Entry!K:K),0)</f>
        <v>1656</v>
      </c>
      <c r="G59" s="7">
        <f>E59-F59</f>
        <v>1794</v>
      </c>
      <c r="H59" s="13">
        <f>IFERROR(G59/E59,0)</f>
        <v>0.52</v>
      </c>
    </row>
    <row r="60" spans="1:8" ht="19.5" customHeight="1">
      <c r="A60" s="2" t="s">
        <v>231</v>
      </c>
      <c r="B60" s="9" t="s">
        <v>232</v>
      </c>
      <c r="C60" s="2" t="s">
        <v>224</v>
      </c>
      <c r="D60" s="2">
        <f>IFERROR(SUMIF(Sales_Entry!D:D,A60,Sales_Entry!G:G),0)</f>
        <v>33</v>
      </c>
      <c r="E60" s="4">
        <f>IFERROR(SUMIF(Sales_Entry!D:D,A60,Sales_Entry!I:I),0)</f>
        <v>4125</v>
      </c>
      <c r="F60" s="4">
        <f>IFERROR(SUMIF(Sales_Entry!D:D,A60,Sales_Entry!K:K),0)</f>
        <v>2013</v>
      </c>
      <c r="G60" s="4">
        <f>E60-F60</f>
        <v>2112</v>
      </c>
      <c r="H60" s="14">
        <f>IFERROR(G60/E60,0)</f>
        <v>0.51200000000000001</v>
      </c>
    </row>
    <row r="61" spans="1:8" ht="19.5" customHeight="1">
      <c r="A61" s="5" t="s">
        <v>233</v>
      </c>
      <c r="B61" s="8" t="s">
        <v>234</v>
      </c>
      <c r="C61" s="5" t="s">
        <v>224</v>
      </c>
      <c r="D61" s="5">
        <f>IFERROR(SUMIF(Sales_Entry!D:D,A61,Sales_Entry!G:G),0)</f>
        <v>0</v>
      </c>
      <c r="E61" s="7">
        <f>IFERROR(SUMIF(Sales_Entry!D:D,A61,Sales_Entry!I:I),0)</f>
        <v>0</v>
      </c>
      <c r="F61" s="7">
        <f>IFERROR(SUMIF(Sales_Entry!D:D,A61,Sales_Entry!K:K),0)</f>
        <v>0</v>
      </c>
      <c r="G61" s="7">
        <f>E61-F61</f>
        <v>0</v>
      </c>
      <c r="H61" s="13">
        <f>IFERROR(G61/E61,0)</f>
        <v>0</v>
      </c>
    </row>
    <row r="62" spans="1:8" ht="19.5" customHeight="1">
      <c r="A62" s="2" t="s">
        <v>235</v>
      </c>
      <c r="B62" s="9" t="s">
        <v>236</v>
      </c>
      <c r="C62" s="2" t="s">
        <v>224</v>
      </c>
      <c r="D62" s="2">
        <f>IFERROR(SUMIF(Sales_Entry!D:D,A62,Sales_Entry!G:G),0)</f>
        <v>0</v>
      </c>
      <c r="E62" s="4">
        <f>IFERROR(SUMIF(Sales_Entry!D:D,A62,Sales_Entry!I:I),0)</f>
        <v>0</v>
      </c>
      <c r="F62" s="4">
        <f>IFERROR(SUMIF(Sales_Entry!D:D,A62,Sales_Entry!K:K),0)</f>
        <v>0</v>
      </c>
      <c r="G62" s="4">
        <f>E62-F62</f>
        <v>0</v>
      </c>
      <c r="H62" s="14">
        <f>IFERROR(G62/E62,0)</f>
        <v>0</v>
      </c>
    </row>
    <row r="63" spans="1:8" ht="19.5" customHeight="1">
      <c r="A63" s="5" t="s">
        <v>238</v>
      </c>
      <c r="B63" s="8" t="s">
        <v>239</v>
      </c>
      <c r="C63" s="5" t="s">
        <v>224</v>
      </c>
      <c r="D63" s="5">
        <f>IFERROR(SUMIF(Sales_Entry!D:D,A63,Sales_Entry!G:G),0)</f>
        <v>40</v>
      </c>
      <c r="E63" s="7">
        <f>IFERROR(SUMIF(Sales_Entry!D:D,A63,Sales_Entry!I:I),0)</f>
        <v>3800</v>
      </c>
      <c r="F63" s="7">
        <f>IFERROR(SUMIF(Sales_Entry!D:D,A63,Sales_Entry!K:K),0)</f>
        <v>1840</v>
      </c>
      <c r="G63" s="7">
        <f>E63-F63</f>
        <v>1960</v>
      </c>
      <c r="H63" s="13">
        <f>IFERROR(G63/E63,0)</f>
        <v>0.51578947368421058</v>
      </c>
    </row>
    <row r="64" spans="1:8" ht="19.5" customHeight="1">
      <c r="A64" s="2" t="s">
        <v>240</v>
      </c>
      <c r="B64" s="9" t="s">
        <v>32</v>
      </c>
      <c r="C64" s="2" t="s">
        <v>97</v>
      </c>
      <c r="D64" s="2">
        <f>IFERROR(SUMIF(Sales_Entry!D:D,A64,Sales_Entry!G:G),0)</f>
        <v>85</v>
      </c>
      <c r="E64" s="4">
        <f>IFERROR(SUMIF(Sales_Entry!D:D,A64,Sales_Entry!I:I),0)</f>
        <v>14025</v>
      </c>
      <c r="F64" s="4">
        <f>IFERROR(SUMIF(Sales_Entry!D:D,A64,Sales_Entry!K:K),0)</f>
        <v>6800</v>
      </c>
      <c r="G64" s="4">
        <f>E64-F64</f>
        <v>7225</v>
      </c>
      <c r="H64" s="14">
        <f>IFERROR(G64/E64,0)</f>
        <v>0.51515151515151514</v>
      </c>
    </row>
    <row r="65" spans="1:8" ht="19.5" customHeight="1">
      <c r="A65" s="5" t="s">
        <v>241</v>
      </c>
      <c r="B65" s="8" t="s">
        <v>242</v>
      </c>
      <c r="C65" s="5" t="s">
        <v>97</v>
      </c>
      <c r="D65" s="5">
        <f>IFERROR(SUMIF(Sales_Entry!D:D,A65,Sales_Entry!G:G),0)</f>
        <v>0</v>
      </c>
      <c r="E65" s="7">
        <f>IFERROR(SUMIF(Sales_Entry!D:D,A65,Sales_Entry!I:I),0)</f>
        <v>0</v>
      </c>
      <c r="F65" s="7">
        <f>IFERROR(SUMIF(Sales_Entry!D:D,A65,Sales_Entry!K:K),0)</f>
        <v>0</v>
      </c>
      <c r="G65" s="7">
        <f>E65-F65</f>
        <v>0</v>
      </c>
      <c r="H65" s="13">
        <f>IFERROR(G65/E65,0)</f>
        <v>0</v>
      </c>
    </row>
    <row r="66" spans="1:8" ht="19.5" customHeight="1">
      <c r="A66" s="2" t="s">
        <v>243</v>
      </c>
      <c r="B66" s="9" t="s">
        <v>244</v>
      </c>
      <c r="C66" s="2" t="s">
        <v>97</v>
      </c>
      <c r="D66" s="2">
        <f>IFERROR(SUMIF(Sales_Entry!D:D,A66,Sales_Entry!G:G),0)</f>
        <v>4</v>
      </c>
      <c r="E66" s="4">
        <f>IFERROR(SUMIF(Sales_Entry!D:D,A66,Sales_Entry!I:I),0)</f>
        <v>740</v>
      </c>
      <c r="F66" s="4">
        <f>IFERROR(SUMIF(Sales_Entry!D:D,A66,Sales_Entry!K:K),0)</f>
        <v>360</v>
      </c>
      <c r="G66" s="4">
        <f>E66-F66</f>
        <v>380</v>
      </c>
      <c r="H66" s="14">
        <f>IFERROR(G66/E66,0)</f>
        <v>0.51351351351351349</v>
      </c>
    </row>
    <row r="67" spans="1:8" ht="19.5" customHeight="1">
      <c r="A67" s="5" t="s">
        <v>245</v>
      </c>
      <c r="B67" s="8" t="s">
        <v>246</v>
      </c>
      <c r="C67" s="5" t="s">
        <v>97</v>
      </c>
      <c r="D67" s="5">
        <f>IFERROR(SUMIF(Sales_Entry!D:D,A67,Sales_Entry!G:G),0)</f>
        <v>0</v>
      </c>
      <c r="E67" s="7">
        <f>IFERROR(SUMIF(Sales_Entry!D:D,A67,Sales_Entry!I:I),0)</f>
        <v>0</v>
      </c>
      <c r="F67" s="7">
        <f>IFERROR(SUMIF(Sales_Entry!D:D,A67,Sales_Entry!K:K),0)</f>
        <v>0</v>
      </c>
      <c r="G67" s="7">
        <f>E67-F67</f>
        <v>0</v>
      </c>
      <c r="H67" s="13">
        <f>IFERROR(G67/E67,0)</f>
        <v>0</v>
      </c>
    </row>
    <row r="68" spans="1:8" ht="19.5" customHeight="1">
      <c r="A68" s="2" t="s">
        <v>247</v>
      </c>
      <c r="B68" s="9" t="s">
        <v>248</v>
      </c>
      <c r="C68" s="2" t="s">
        <v>97</v>
      </c>
      <c r="D68" s="2">
        <f>IFERROR(SUMIF(Sales_Entry!D:D,A68,Sales_Entry!G:G),0)</f>
        <v>35</v>
      </c>
      <c r="E68" s="4">
        <f>IFERROR(SUMIF(Sales_Entry!D:D,A68,Sales_Entry!I:I),0)</f>
        <v>4375</v>
      </c>
      <c r="F68" s="4">
        <f>IFERROR(SUMIF(Sales_Entry!D:D,A68,Sales_Entry!K:K),0)</f>
        <v>2135</v>
      </c>
      <c r="G68" s="4">
        <f>E68-F68</f>
        <v>2240</v>
      </c>
      <c r="H68" s="14">
        <f>IFERROR(G68/E68,0)</f>
        <v>0.51200000000000001</v>
      </c>
    </row>
    <row r="69" spans="1:8" ht="19.5" customHeight="1">
      <c r="A69" s="5" t="s">
        <v>249</v>
      </c>
      <c r="B69" s="8" t="s">
        <v>250</v>
      </c>
      <c r="C69" s="5" t="s">
        <v>115</v>
      </c>
      <c r="D69" s="5">
        <f>IFERROR(SUMIF(Sales_Entry!D:D,A69,Sales_Entry!G:G),0)</f>
        <v>27</v>
      </c>
      <c r="E69" s="7">
        <f>IFERROR(SUMIF(Sales_Entry!D:D,A69,Sales_Entry!I:I),0)</f>
        <v>1755</v>
      </c>
      <c r="F69" s="7">
        <f>IFERROR(SUMIF(Sales_Entry!D:D,A69,Sales_Entry!K:K),0)</f>
        <v>837</v>
      </c>
      <c r="G69" s="7">
        <f>E69-F69</f>
        <v>918</v>
      </c>
      <c r="H69" s="13">
        <f>IFERROR(G69/E69,0)</f>
        <v>0.52307692307692311</v>
      </c>
    </row>
    <row r="70" spans="1:8" ht="19.5" customHeight="1">
      <c r="A70" s="2" t="s">
        <v>251</v>
      </c>
      <c r="B70" s="9" t="s">
        <v>36</v>
      </c>
      <c r="C70" s="2" t="s">
        <v>115</v>
      </c>
      <c r="D70" s="2">
        <f>IFERROR(SUMIF(Sales_Entry!D:D,A70,Sales_Entry!G:G),0)</f>
        <v>104</v>
      </c>
      <c r="E70" s="4">
        <f>IFERROR(SUMIF(Sales_Entry!D:D,A70,Sales_Entry!I:I),0)</f>
        <v>8840</v>
      </c>
      <c r="F70" s="4">
        <f>IFERROR(SUMIF(Sales_Entry!D:D,A70,Sales_Entry!K:K),0)</f>
        <v>4264</v>
      </c>
      <c r="G70" s="4">
        <f>E70-F70</f>
        <v>4576</v>
      </c>
      <c r="H70" s="14">
        <f>IFERROR(G70/E70,0)</f>
        <v>0.51764705882352946</v>
      </c>
    </row>
    <row r="71" spans="1:8" ht="19.5" customHeight="1">
      <c r="A71" s="5" t="s">
        <v>252</v>
      </c>
      <c r="B71" s="8" t="s">
        <v>253</v>
      </c>
      <c r="C71" s="5" t="s">
        <v>115</v>
      </c>
      <c r="D71" s="5">
        <f>IFERROR(SUMIF(Sales_Entry!D:D,A71,Sales_Entry!G:G),0)</f>
        <v>31</v>
      </c>
      <c r="E71" s="7">
        <f>IFERROR(SUMIF(Sales_Entry!D:D,A71,Sales_Entry!I:I),0)</f>
        <v>1705</v>
      </c>
      <c r="F71" s="7">
        <f>IFERROR(SUMIF(Sales_Entry!D:D,A71,Sales_Entry!K:K),0)</f>
        <v>806</v>
      </c>
      <c r="G71" s="7">
        <f>E71-F71</f>
        <v>899</v>
      </c>
      <c r="H71" s="13">
        <f>IFERROR(G71/E71,0)</f>
        <v>0.52727272727272723</v>
      </c>
    </row>
    <row r="72" spans="1:8" ht="19.5" customHeight="1">
      <c r="A72" s="2" t="s">
        <v>254</v>
      </c>
      <c r="B72" s="9" t="s">
        <v>255</v>
      </c>
      <c r="C72" s="2" t="s">
        <v>133</v>
      </c>
      <c r="D72" s="2">
        <f>IFERROR(SUMIF(Sales_Entry!D:D,A72,Sales_Entry!G:G),0)</f>
        <v>0</v>
      </c>
      <c r="E72" s="4">
        <f>IFERROR(SUMIF(Sales_Entry!D:D,A72,Sales_Entry!I:I),0)</f>
        <v>0</v>
      </c>
      <c r="F72" s="4">
        <f>IFERROR(SUMIF(Sales_Entry!D:D,A72,Sales_Entry!K:K),0)</f>
        <v>0</v>
      </c>
      <c r="G72" s="4">
        <f>E72-F72</f>
        <v>0</v>
      </c>
      <c r="H72" s="14">
        <f>IFERROR(G72/E72,0)</f>
        <v>0</v>
      </c>
    </row>
    <row r="73" spans="1:8" ht="19.5" customHeight="1">
      <c r="A73" s="5" t="s">
        <v>256</v>
      </c>
      <c r="B73" s="8" t="s">
        <v>257</v>
      </c>
      <c r="C73" s="5" t="s">
        <v>133</v>
      </c>
      <c r="D73" s="5">
        <f>IFERROR(SUMIF(Sales_Entry!D:D,A73,Sales_Entry!G:G),0)</f>
        <v>36</v>
      </c>
      <c r="E73" s="7">
        <f>IFERROR(SUMIF(Sales_Entry!D:D,A73,Sales_Entry!I:I),0)</f>
        <v>3060</v>
      </c>
      <c r="F73" s="7">
        <f>IFERROR(SUMIF(Sales_Entry!D:D,A73,Sales_Entry!K:K),0)</f>
        <v>1476</v>
      </c>
      <c r="G73" s="7">
        <f>E73-F73</f>
        <v>1584</v>
      </c>
      <c r="H73" s="13">
        <f>IFERROR(G73/E73,0)</f>
        <v>0.51764705882352946</v>
      </c>
    </row>
    <row r="74" spans="1:8" ht="19.5" customHeight="1">
      <c r="A74" s="2" t="s">
        <v>258</v>
      </c>
      <c r="B74" s="9" t="s">
        <v>259</v>
      </c>
      <c r="C74" s="2" t="s">
        <v>133</v>
      </c>
      <c r="D74" s="2">
        <f>IFERROR(SUMIF(Sales_Entry!D:D,A74,Sales_Entry!G:G),0)</f>
        <v>13</v>
      </c>
      <c r="E74" s="4">
        <f>IFERROR(SUMIF(Sales_Entry!D:D,A74,Sales_Entry!I:I),0)</f>
        <v>845</v>
      </c>
      <c r="F74" s="4">
        <f>IFERROR(SUMIF(Sales_Entry!D:D,A74,Sales_Entry!K:K),0)</f>
        <v>403</v>
      </c>
      <c r="G74" s="4">
        <f>E74-F74</f>
        <v>442</v>
      </c>
      <c r="H74" s="14">
        <f>IFERROR(G74/E74,0)</f>
        <v>0.52307692307692311</v>
      </c>
    </row>
    <row r="75" spans="1:8" ht="19.5" customHeight="1">
      <c r="A75" s="5" t="s">
        <v>260</v>
      </c>
      <c r="B75" s="8" t="s">
        <v>261</v>
      </c>
      <c r="C75" s="5" t="s">
        <v>145</v>
      </c>
      <c r="D75" s="5">
        <f>IFERROR(SUMIF(Sales_Entry!D:D,A75,Sales_Entry!G:G),0)</f>
        <v>0</v>
      </c>
      <c r="E75" s="7">
        <f>IFERROR(SUMIF(Sales_Entry!D:D,A75,Sales_Entry!I:I),0)</f>
        <v>0</v>
      </c>
      <c r="F75" s="7">
        <f>IFERROR(SUMIF(Sales_Entry!D:D,A75,Sales_Entry!K:K),0)</f>
        <v>0</v>
      </c>
      <c r="G75" s="7">
        <f>E75-F75</f>
        <v>0</v>
      </c>
      <c r="H75" s="13">
        <f>IFERROR(G75/E75,0)</f>
        <v>0</v>
      </c>
    </row>
    <row r="76" spans="1:8" ht="19.5" customHeight="1">
      <c r="A76" s="2" t="s">
        <v>262</v>
      </c>
      <c r="B76" s="9" t="s">
        <v>31</v>
      </c>
      <c r="C76" s="2" t="s">
        <v>145</v>
      </c>
      <c r="D76" s="2">
        <f>IFERROR(SUMIF(Sales_Entry!D:D,A76,Sales_Entry!G:G),0)</f>
        <v>70</v>
      </c>
      <c r="E76" s="4">
        <f>IFERROR(SUMIF(Sales_Entry!D:D,A76,Sales_Entry!I:I),0)</f>
        <v>12950</v>
      </c>
      <c r="F76" s="4">
        <f>IFERROR(SUMIF(Sales_Entry!D:D,A76,Sales_Entry!K:K),0)</f>
        <v>6300</v>
      </c>
      <c r="G76" s="4">
        <f>E76-F76</f>
        <v>6650</v>
      </c>
      <c r="H76" s="14">
        <f>IFERROR(G76/E76,0)</f>
        <v>0.51351351351351349</v>
      </c>
    </row>
    <row r="77" spans="1:8" ht="19.5" customHeight="1">
      <c r="A77" s="5" t="s">
        <v>263</v>
      </c>
      <c r="B77" s="8" t="s">
        <v>264</v>
      </c>
      <c r="C77" s="5" t="s">
        <v>145</v>
      </c>
      <c r="D77" s="5">
        <f>IFERROR(SUMIF(Sales_Entry!D:D,A77,Sales_Entry!G:G),0)</f>
        <v>30</v>
      </c>
      <c r="E77" s="7">
        <f>IFERROR(SUMIF(Sales_Entry!D:D,A77,Sales_Entry!I:I),0)</f>
        <v>2850</v>
      </c>
      <c r="F77" s="7">
        <f>IFERROR(SUMIF(Sales_Entry!D:D,A77,Sales_Entry!K:K),0)</f>
        <v>1380</v>
      </c>
      <c r="G77" s="7">
        <f>E77-F77</f>
        <v>1470</v>
      </c>
      <c r="H77" s="13">
        <f>IFERROR(G77/E77,0)</f>
        <v>0.51578947368421058</v>
      </c>
    </row>
    <row r="78" spans="1:8" ht="19.5" customHeight="1">
      <c r="A78" s="2" t="s">
        <v>265</v>
      </c>
      <c r="B78" s="9" t="s">
        <v>266</v>
      </c>
      <c r="C78" s="2" t="s">
        <v>160</v>
      </c>
      <c r="D78" s="2">
        <f>IFERROR(SUMIF(Sales_Entry!D:D,A78,Sales_Entry!G:G),0)</f>
        <v>0</v>
      </c>
      <c r="E78" s="4">
        <f>IFERROR(SUMIF(Sales_Entry!D:D,A78,Sales_Entry!I:I),0)</f>
        <v>0</v>
      </c>
      <c r="F78" s="4">
        <f>IFERROR(SUMIF(Sales_Entry!D:D,A78,Sales_Entry!K:K),0)</f>
        <v>0</v>
      </c>
      <c r="G78" s="4">
        <f>E78-F78</f>
        <v>0</v>
      </c>
      <c r="H78" s="14">
        <f>IFERROR(G78/E78,0)</f>
        <v>0</v>
      </c>
    </row>
    <row r="79" spans="1:8" ht="19.5" customHeight="1">
      <c r="A79" s="5" t="s">
        <v>267</v>
      </c>
      <c r="B79" s="8" t="s">
        <v>268</v>
      </c>
      <c r="C79" s="5" t="s">
        <v>160</v>
      </c>
      <c r="D79" s="5">
        <f>IFERROR(SUMIF(Sales_Entry!D:D,A79,Sales_Entry!G:G),0)</f>
        <v>0</v>
      </c>
      <c r="E79" s="7">
        <f>IFERROR(SUMIF(Sales_Entry!D:D,A79,Sales_Entry!I:I),0)</f>
        <v>0</v>
      </c>
      <c r="F79" s="7">
        <f>IFERROR(SUMIF(Sales_Entry!D:D,A79,Sales_Entry!K:K),0)</f>
        <v>0</v>
      </c>
      <c r="G79" s="7">
        <f>E79-F79</f>
        <v>0</v>
      </c>
      <c r="H79" s="13">
        <f>IFERROR(G79/E79,0)</f>
        <v>0</v>
      </c>
    </row>
    <row r="80" spans="1:8" ht="19.5" customHeight="1">
      <c r="A80" s="2" t="s">
        <v>269</v>
      </c>
      <c r="B80" s="9" t="s">
        <v>270</v>
      </c>
      <c r="C80" s="2" t="s">
        <v>160</v>
      </c>
      <c r="D80" s="2">
        <f>IFERROR(SUMIF(Sales_Entry!D:D,A80,Sales_Entry!G:G),0)</f>
        <v>49</v>
      </c>
      <c r="E80" s="4">
        <f>IFERROR(SUMIF(Sales_Entry!D:D,A80,Sales_Entry!I:I),0)</f>
        <v>18865</v>
      </c>
      <c r="F80" s="4">
        <f>IFERROR(SUMIF(Sales_Entry!D:D,A80,Sales_Entry!K:K),0)</f>
        <v>9310</v>
      </c>
      <c r="G80" s="4">
        <f>E80-F80</f>
        <v>9555</v>
      </c>
      <c r="H80" s="14">
        <f>IFERROR(G80/E80,0)</f>
        <v>0.50649350649350644</v>
      </c>
    </row>
    <row r="81" spans="1:8" ht="19.5" customHeight="1">
      <c r="A81" s="5" t="s">
        <v>271</v>
      </c>
      <c r="B81" s="8" t="s">
        <v>272</v>
      </c>
      <c r="C81" s="5" t="s">
        <v>174</v>
      </c>
      <c r="D81" s="5">
        <f>IFERROR(SUMIF(Sales_Entry!D:D,A81,Sales_Entry!G:G),0)</f>
        <v>39</v>
      </c>
      <c r="E81" s="7">
        <f>IFERROR(SUMIF(Sales_Entry!D:D,A81,Sales_Entry!I:I),0)</f>
        <v>2925</v>
      </c>
      <c r="F81" s="7">
        <f>IFERROR(SUMIF(Sales_Entry!D:D,A81,Sales_Entry!K:K),0)</f>
        <v>1404</v>
      </c>
      <c r="G81" s="7">
        <f>E81-F81</f>
        <v>1521</v>
      </c>
      <c r="H81" s="13">
        <f>IFERROR(G81/E81,0)</f>
        <v>0.52</v>
      </c>
    </row>
    <row r="82" spans="1:8" ht="19.5" customHeight="1">
      <c r="A82" s="2" t="s">
        <v>273</v>
      </c>
      <c r="B82" s="9" t="s">
        <v>274</v>
      </c>
      <c r="C82" s="2" t="s">
        <v>174</v>
      </c>
      <c r="D82" s="2">
        <f>IFERROR(SUMIF(Sales_Entry!D:D,A82,Sales_Entry!G:G),0)</f>
        <v>19</v>
      </c>
      <c r="E82" s="4">
        <f>IFERROR(SUMIF(Sales_Entry!D:D,A82,Sales_Entry!I:I),0)</f>
        <v>2375</v>
      </c>
      <c r="F82" s="4">
        <f>IFERROR(SUMIF(Sales_Entry!D:D,A82,Sales_Entry!K:K),0)</f>
        <v>1159</v>
      </c>
      <c r="G82" s="4">
        <f>E82-F82</f>
        <v>1216</v>
      </c>
      <c r="H82" s="14">
        <f>IFERROR(G82/E82,0)</f>
        <v>0.51200000000000001</v>
      </c>
    </row>
    <row r="83" spans="1:8" ht="19.5" customHeight="1">
      <c r="A83" s="5" t="s">
        <v>275</v>
      </c>
      <c r="B83" s="8" t="s">
        <v>276</v>
      </c>
      <c r="C83" s="5" t="s">
        <v>174</v>
      </c>
      <c r="D83" s="5">
        <f>IFERROR(SUMIF(Sales_Entry!D:D,A83,Sales_Entry!G:G),0)</f>
        <v>20</v>
      </c>
      <c r="E83" s="7">
        <f>IFERROR(SUMIF(Sales_Entry!D:D,A83,Sales_Entry!I:I),0)</f>
        <v>700</v>
      </c>
      <c r="F83" s="7">
        <f>IFERROR(SUMIF(Sales_Entry!D:D,A83,Sales_Entry!K:K),0)</f>
        <v>340</v>
      </c>
      <c r="G83" s="7">
        <f>E83-F83</f>
        <v>360</v>
      </c>
      <c r="H83" s="13">
        <f>IFERROR(G83/E83,0)</f>
        <v>0.51428571428571423</v>
      </c>
    </row>
    <row r="84" spans="1:8" ht="19.5" customHeight="1">
      <c r="A84" s="2" t="s">
        <v>277</v>
      </c>
      <c r="B84" s="9" t="s">
        <v>278</v>
      </c>
      <c r="C84" s="2" t="s">
        <v>187</v>
      </c>
      <c r="D84" s="2">
        <f>IFERROR(SUMIF(Sales_Entry!D:D,A84,Sales_Entry!G:G),0)</f>
        <v>54</v>
      </c>
      <c r="E84" s="4">
        <f>IFERROR(SUMIF(Sales_Entry!D:D,A84,Sales_Entry!I:I),0)</f>
        <v>5130</v>
      </c>
      <c r="F84" s="4">
        <f>IFERROR(SUMIF(Sales_Entry!D:D,A84,Sales_Entry!K:K),0)</f>
        <v>2484</v>
      </c>
      <c r="G84" s="4">
        <f>E84-F84</f>
        <v>2646</v>
      </c>
      <c r="H84" s="14">
        <f>IFERROR(G84/E84,0)</f>
        <v>0.51578947368421058</v>
      </c>
    </row>
    <row r="85" spans="1:8" ht="19.5" customHeight="1">
      <c r="A85" s="5" t="s">
        <v>279</v>
      </c>
      <c r="B85" s="8" t="s">
        <v>280</v>
      </c>
      <c r="C85" s="5" t="s">
        <v>187</v>
      </c>
      <c r="D85" s="5">
        <f>IFERROR(SUMIF(Sales_Entry!D:D,A85,Sales_Entry!G:G),0)</f>
        <v>0</v>
      </c>
      <c r="E85" s="7">
        <f>IFERROR(SUMIF(Sales_Entry!D:D,A85,Sales_Entry!I:I),0)</f>
        <v>0</v>
      </c>
      <c r="F85" s="7">
        <f>IFERROR(SUMIF(Sales_Entry!D:D,A85,Sales_Entry!K:K),0)</f>
        <v>0</v>
      </c>
      <c r="G85" s="7">
        <f>E85-F85</f>
        <v>0</v>
      </c>
      <c r="H85" s="13">
        <f>IFERROR(G85/E85,0)</f>
        <v>0</v>
      </c>
    </row>
    <row r="86" spans="1:8" ht="19.5" customHeight="1">
      <c r="A86" s="2" t="s">
        <v>281</v>
      </c>
      <c r="B86" s="9" t="s">
        <v>282</v>
      </c>
      <c r="C86" s="2" t="s">
        <v>187</v>
      </c>
      <c r="D86" s="2">
        <f>IFERROR(SUMIF(Sales_Entry!D:D,A86,Sales_Entry!G:G),0)</f>
        <v>23</v>
      </c>
      <c r="E86" s="4">
        <f>IFERROR(SUMIF(Sales_Entry!D:D,A86,Sales_Entry!I:I),0)</f>
        <v>1495</v>
      </c>
      <c r="F86" s="4">
        <f>IFERROR(SUMIF(Sales_Entry!D:D,A86,Sales_Entry!K:K),0)</f>
        <v>713</v>
      </c>
      <c r="G86" s="4">
        <f>E86-F86</f>
        <v>782</v>
      </c>
      <c r="H86" s="14">
        <f>IFERROR(G86/E86,0)</f>
        <v>0.52307692307692311</v>
      </c>
    </row>
    <row r="87" spans="1:8" ht="19.5" customHeight="1">
      <c r="A87" s="5" t="s">
        <v>283</v>
      </c>
      <c r="B87" s="8" t="s">
        <v>284</v>
      </c>
      <c r="C87" s="5" t="s">
        <v>198</v>
      </c>
      <c r="D87" s="5">
        <f>IFERROR(SUMIF(Sales_Entry!D:D,A87,Sales_Entry!G:G),0)</f>
        <v>0</v>
      </c>
      <c r="E87" s="7">
        <f>IFERROR(SUMIF(Sales_Entry!D:D,A87,Sales_Entry!I:I),0)</f>
        <v>0</v>
      </c>
      <c r="F87" s="7">
        <f>IFERROR(SUMIF(Sales_Entry!D:D,A87,Sales_Entry!K:K),0)</f>
        <v>0</v>
      </c>
      <c r="G87" s="7">
        <f>E87-F87</f>
        <v>0</v>
      </c>
      <c r="H87" s="13">
        <f>IFERROR(G87/E87,0)</f>
        <v>0</v>
      </c>
    </row>
    <row r="88" spans="1:8" ht="19.5" customHeight="1">
      <c r="A88" s="2" t="s">
        <v>285</v>
      </c>
      <c r="B88" s="9" t="s">
        <v>286</v>
      </c>
      <c r="C88" s="2" t="s">
        <v>198</v>
      </c>
      <c r="D88" s="2">
        <f>IFERROR(SUMIF(Sales_Entry!D:D,A88,Sales_Entry!G:G),0)</f>
        <v>16</v>
      </c>
      <c r="E88" s="4">
        <f>IFERROR(SUMIF(Sales_Entry!D:D,A88,Sales_Entry!I:I),0)</f>
        <v>2000</v>
      </c>
      <c r="F88" s="4">
        <f>IFERROR(SUMIF(Sales_Entry!D:D,A88,Sales_Entry!K:K),0)</f>
        <v>976</v>
      </c>
      <c r="G88" s="4">
        <f>E88-F88</f>
        <v>1024</v>
      </c>
      <c r="H88" s="14">
        <f>IFERROR(G88/E88,0)</f>
        <v>0.51200000000000001</v>
      </c>
    </row>
    <row r="89" spans="1:8" ht="19.5" customHeight="1">
      <c r="A89" s="5" t="s">
        <v>287</v>
      </c>
      <c r="B89" s="8" t="s">
        <v>288</v>
      </c>
      <c r="C89" s="5" t="s">
        <v>211</v>
      </c>
      <c r="D89" s="5">
        <f>IFERROR(SUMIF(Sales_Entry!D:D,A89,Sales_Entry!G:G),0)</f>
        <v>17</v>
      </c>
      <c r="E89" s="7">
        <f>IFERROR(SUMIF(Sales_Entry!D:D,A89,Sales_Entry!I:I),0)</f>
        <v>2125</v>
      </c>
      <c r="F89" s="7">
        <f>IFERROR(SUMIF(Sales_Entry!D:D,A89,Sales_Entry!K:K),0)</f>
        <v>1037</v>
      </c>
      <c r="G89" s="7">
        <f>E89-F89</f>
        <v>1088</v>
      </c>
      <c r="H89" s="13">
        <f>IFERROR(G89/E89,0)</f>
        <v>0.51200000000000001</v>
      </c>
    </row>
    <row r="90" spans="1:8" ht="19.5" customHeight="1">
      <c r="A90" s="2" t="s">
        <v>289</v>
      </c>
      <c r="B90" s="9" t="s">
        <v>290</v>
      </c>
      <c r="C90" s="2" t="s">
        <v>211</v>
      </c>
      <c r="D90" s="2">
        <f>IFERROR(SUMIF(Sales_Entry!D:D,A90,Sales_Entry!G:G),0)</f>
        <v>59</v>
      </c>
      <c r="E90" s="4">
        <f>IFERROR(SUMIF(Sales_Entry!D:D,A90,Sales_Entry!I:I),0)</f>
        <v>8555</v>
      </c>
      <c r="F90" s="4">
        <f>IFERROR(SUMIF(Sales_Entry!D:D,A90,Sales_Entry!K:K),0)</f>
        <v>4130</v>
      </c>
      <c r="G90" s="4">
        <f>E90-F90</f>
        <v>4425</v>
      </c>
      <c r="H90" s="14">
        <f>IFERROR(G90/E90,0)</f>
        <v>0.51724137931034486</v>
      </c>
    </row>
    <row r="91" spans="1:8" ht="19.5" customHeight="1">
      <c r="A91" s="5" t="s">
        <v>291</v>
      </c>
      <c r="B91" s="8" t="s">
        <v>30</v>
      </c>
      <c r="C91" s="5" t="s">
        <v>211</v>
      </c>
      <c r="D91" s="5">
        <f>IFERROR(SUMIF(Sales_Entry!D:D,A91,Sales_Entry!G:G),0)</f>
        <v>68</v>
      </c>
      <c r="E91" s="7">
        <f>IFERROR(SUMIF(Sales_Entry!D:D,A91,Sales_Entry!I:I),0)</f>
        <v>19380</v>
      </c>
      <c r="F91" s="7">
        <f>IFERROR(SUMIF(Sales_Entry!D:D,A91,Sales_Entry!K:K),0)</f>
        <v>9520</v>
      </c>
      <c r="G91" s="7">
        <f>E91-F91</f>
        <v>9860</v>
      </c>
      <c r="H91" s="13">
        <f>IFERROR(G91/E91,0)</f>
        <v>0.50877192982456143</v>
      </c>
    </row>
    <row r="92" spans="1:8" ht="19.5" customHeight="1">
      <c r="A92" s="2" t="s">
        <v>293</v>
      </c>
      <c r="B92" s="9" t="s">
        <v>294</v>
      </c>
      <c r="C92" s="2" t="s">
        <v>224</v>
      </c>
      <c r="D92" s="2">
        <f>IFERROR(SUMIF(Sales_Entry!D:D,A92,Sales_Entry!G:G),0)</f>
        <v>67</v>
      </c>
      <c r="E92" s="4">
        <f>IFERROR(SUMIF(Sales_Entry!D:D,A92,Sales_Entry!I:I),0)</f>
        <v>11055</v>
      </c>
      <c r="F92" s="4">
        <f>IFERROR(SUMIF(Sales_Entry!D:D,A92,Sales_Entry!K:K),0)</f>
        <v>5360</v>
      </c>
      <c r="G92" s="4">
        <f>E92-F92</f>
        <v>5695</v>
      </c>
      <c r="H92" s="14">
        <f>IFERROR(G92/E92,0)</f>
        <v>0.51515151515151514</v>
      </c>
    </row>
    <row r="93" spans="1:8" ht="19.5" customHeight="1">
      <c r="A93" s="5" t="s">
        <v>295</v>
      </c>
      <c r="B93" s="8" t="s">
        <v>296</v>
      </c>
      <c r="C93" s="5" t="s">
        <v>224</v>
      </c>
      <c r="D93" s="5">
        <f>IFERROR(SUMIF(Sales_Entry!D:D,A93,Sales_Entry!G:G),0)</f>
        <v>0</v>
      </c>
      <c r="E93" s="7">
        <f>IFERROR(SUMIF(Sales_Entry!D:D,A93,Sales_Entry!I:I),0)</f>
        <v>0</v>
      </c>
      <c r="F93" s="7">
        <f>IFERROR(SUMIF(Sales_Entry!D:D,A93,Sales_Entry!K:K),0)</f>
        <v>0</v>
      </c>
      <c r="G93" s="7">
        <f>E93-F93</f>
        <v>0</v>
      </c>
      <c r="H93" s="13">
        <f>IFERROR(G93/E93,0)</f>
        <v>0</v>
      </c>
    </row>
    <row r="94" spans="1:8" ht="19.5" customHeight="1">
      <c r="A94" s="2" t="s">
        <v>297</v>
      </c>
      <c r="B94" s="9" t="s">
        <v>298</v>
      </c>
      <c r="C94" s="2" t="s">
        <v>224</v>
      </c>
      <c r="D94" s="2">
        <f>IFERROR(SUMIF(Sales_Entry!D:D,A94,Sales_Entry!G:G),0)</f>
        <v>49</v>
      </c>
      <c r="E94" s="4">
        <f>IFERROR(SUMIF(Sales_Entry!D:D,A94,Sales_Entry!I:I),0)</f>
        <v>6125</v>
      </c>
      <c r="F94" s="4">
        <f>IFERROR(SUMIF(Sales_Entry!D:D,A94,Sales_Entry!K:K),0)</f>
        <v>2989</v>
      </c>
      <c r="G94" s="4">
        <f>E94-F94</f>
        <v>3136</v>
      </c>
      <c r="H94" s="14">
        <f>IFERROR(G94/E94,0)</f>
        <v>0.51200000000000001</v>
      </c>
    </row>
    <row r="95" spans="1:8" ht="19.5" customHeight="1">
      <c r="A95" s="5" t="s">
        <v>299</v>
      </c>
      <c r="B95" s="8" t="s">
        <v>300</v>
      </c>
      <c r="C95" s="5" t="s">
        <v>224</v>
      </c>
      <c r="D95" s="5">
        <f>IFERROR(SUMIF(Sales_Entry!D:D,A95,Sales_Entry!G:G),0)</f>
        <v>47</v>
      </c>
      <c r="E95" s="7">
        <f>IFERROR(SUMIF(Sales_Entry!D:D,A95,Sales_Entry!I:I),0)</f>
        <v>8695</v>
      </c>
      <c r="F95" s="7">
        <f>IFERROR(SUMIF(Sales_Entry!D:D,A95,Sales_Entry!K:K),0)</f>
        <v>4230</v>
      </c>
      <c r="G95" s="7">
        <f>E95-F95</f>
        <v>4465</v>
      </c>
      <c r="H95" s="13">
        <f>IFERROR(G95/E95,0)</f>
        <v>0.51351351351351349</v>
      </c>
    </row>
    <row r="96" spans="1:8" ht="19.5" customHeight="1">
      <c r="A96" s="2" t="s">
        <v>301</v>
      </c>
      <c r="B96" s="9" t="s">
        <v>302</v>
      </c>
      <c r="C96" s="2" t="s">
        <v>224</v>
      </c>
      <c r="D96" s="2">
        <f>IFERROR(SUMIF(Sales_Entry!D:D,A96,Sales_Entry!G:G),0)</f>
        <v>47</v>
      </c>
      <c r="E96" s="4">
        <f>IFERROR(SUMIF(Sales_Entry!D:D,A96,Sales_Entry!I:I),0)</f>
        <v>6815</v>
      </c>
      <c r="F96" s="4">
        <f>IFERROR(SUMIF(Sales_Entry!D:D,A96,Sales_Entry!K:K),0)</f>
        <v>3290</v>
      </c>
      <c r="G96" s="4">
        <f>E96-F96</f>
        <v>3525</v>
      </c>
      <c r="H96" s="14">
        <f>IFERROR(G96/E96,0)</f>
        <v>0.51724137931034486</v>
      </c>
    </row>
    <row r="97" spans="1:8" ht="19.5" customHeight="1">
      <c r="A97" s="5" t="s">
        <v>303</v>
      </c>
      <c r="B97" s="8" t="s">
        <v>304</v>
      </c>
      <c r="C97" s="5" t="s">
        <v>224</v>
      </c>
      <c r="D97" s="5">
        <f>IFERROR(SUMIF(Sales_Entry!D:D,A97,Sales_Entry!G:G),0)</f>
        <v>16</v>
      </c>
      <c r="E97" s="7">
        <f>IFERROR(SUMIF(Sales_Entry!D:D,A97,Sales_Entry!I:I),0)</f>
        <v>2480</v>
      </c>
      <c r="F97" s="7">
        <f>IFERROR(SUMIF(Sales_Entry!D:D,A97,Sales_Entry!K:K),0)</f>
        <v>1200</v>
      </c>
      <c r="G97" s="7">
        <f>E97-F97</f>
        <v>1280</v>
      </c>
      <c r="H97" s="13">
        <f>IFERROR(G97/E97,0)</f>
        <v>0.5161290322580645</v>
      </c>
    </row>
    <row r="98" spans="1:8" ht="19.5" customHeight="1">
      <c r="A98" s="2" t="s">
        <v>305</v>
      </c>
      <c r="B98" s="9" t="s">
        <v>306</v>
      </c>
      <c r="C98" s="2" t="s">
        <v>224</v>
      </c>
      <c r="D98" s="2">
        <f>IFERROR(SUMIF(Sales_Entry!D:D,A98,Sales_Entry!G:G),0)</f>
        <v>0</v>
      </c>
      <c r="E98" s="4">
        <f>IFERROR(SUMIF(Sales_Entry!D:D,A98,Sales_Entry!I:I),0)</f>
        <v>0</v>
      </c>
      <c r="F98" s="4">
        <f>IFERROR(SUMIF(Sales_Entry!D:D,A98,Sales_Entry!K:K),0)</f>
        <v>0</v>
      </c>
      <c r="G98" s="4">
        <f>E98-F98</f>
        <v>0</v>
      </c>
      <c r="H98" s="14">
        <f>IFERROR(G98/E98,0)</f>
        <v>0</v>
      </c>
    </row>
  </sheetData>
  <mergeCells count="1">
    <mergeCell ref="A1:H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subhan sohail</cp:lastModifiedBy>
  <cp:revision>2</cp:revision>
  <dcterms:created xsi:type="dcterms:W3CDTF">2026-03-04T09:37:30Z</dcterms:created>
  <dcterms:modified xsi:type="dcterms:W3CDTF">2026-03-06T17:19:19Z</dcterms:modified>
  <cp:category/>
  <cp:contentStatus/>
</cp:coreProperties>
</file>